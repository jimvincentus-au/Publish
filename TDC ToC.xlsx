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RINTIFY24/Democracy Clock Automation/Publish/"/>
    </mc:Choice>
  </mc:AlternateContent>
  <xr:revisionPtr revIDLastSave="0" documentId="8_{4668526B-2E86-E642-BDEB-F4B987E6714E}" xr6:coauthVersionLast="47" xr6:coauthVersionMax="47" xr10:uidLastSave="{00000000-0000-0000-0000-000000000000}"/>
  <bookViews>
    <workbookView xWindow="29400" yWindow="-1860" windowWidth="38400" windowHeight="20980" xr2:uid="{26D9083B-FECA-C942-8697-FCA102E0AA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1" l="1"/>
  <c r="Q19" i="1"/>
  <c r="Q20" i="1"/>
  <c r="Q21" i="1"/>
  <c r="Q22" i="1"/>
  <c r="Q66" i="1"/>
  <c r="Q69" i="1"/>
  <c r="Q70" i="1"/>
  <c r="Q71" i="1"/>
  <c r="Q17" i="1"/>
  <c r="P18" i="1"/>
  <c r="P19" i="1"/>
  <c r="P20" i="1"/>
  <c r="P21" i="1"/>
  <c r="P22" i="1"/>
  <c r="P17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2" i="1"/>
  <c r="M3" i="1"/>
  <c r="N3" i="1"/>
  <c r="O3" i="1"/>
  <c r="M4" i="1"/>
  <c r="N4" i="1"/>
  <c r="O4" i="1"/>
  <c r="M5" i="1"/>
  <c r="N5" i="1"/>
  <c r="O5" i="1"/>
  <c r="M6" i="1"/>
  <c r="N6" i="1"/>
  <c r="O6" i="1"/>
  <c r="M7" i="1"/>
  <c r="N7" i="1"/>
  <c r="O7" i="1"/>
  <c r="M8" i="1"/>
  <c r="N8" i="1"/>
  <c r="O8" i="1"/>
  <c r="M9" i="1"/>
  <c r="N9" i="1"/>
  <c r="O9" i="1"/>
  <c r="M10" i="1"/>
  <c r="N10" i="1"/>
  <c r="O10" i="1"/>
  <c r="M11" i="1"/>
  <c r="N11" i="1"/>
  <c r="O11" i="1"/>
  <c r="M12" i="1"/>
  <c r="N12" i="1"/>
  <c r="O12" i="1"/>
  <c r="M13" i="1"/>
  <c r="N13" i="1"/>
  <c r="O13" i="1"/>
  <c r="M14" i="1"/>
  <c r="N14" i="1"/>
  <c r="O14" i="1"/>
  <c r="M15" i="1"/>
  <c r="N15" i="1"/>
  <c r="O15" i="1"/>
  <c r="M16" i="1"/>
  <c r="N16" i="1"/>
  <c r="O16" i="1"/>
  <c r="M17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O2" i="1"/>
  <c r="N2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" i="1"/>
  <c r="H19" i="1"/>
  <c r="I19" i="1"/>
  <c r="H20" i="1"/>
  <c r="I20" i="1"/>
  <c r="H21" i="1"/>
  <c r="I21" i="1"/>
  <c r="H22" i="1" s="1"/>
  <c r="I22" i="1" s="1"/>
  <c r="H69" i="1"/>
  <c r="I69" i="1"/>
  <c r="H70" i="1"/>
  <c r="I70" i="1"/>
  <c r="H71" i="1"/>
  <c r="I71" i="1"/>
  <c r="I18" i="1"/>
  <c r="H1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2" i="1"/>
  <c r="G53" i="1"/>
  <c r="G54" i="1"/>
  <c r="G55" i="1"/>
  <c r="G56" i="1"/>
  <c r="G57" i="1"/>
  <c r="G58" i="1"/>
  <c r="G59" i="1"/>
  <c r="G60" i="1"/>
  <c r="G61" i="1"/>
  <c r="G62" i="1"/>
  <c r="G63" i="1"/>
  <c r="G66" i="1"/>
  <c r="G67" i="1"/>
  <c r="G68" i="1"/>
  <c r="G69" i="1"/>
  <c r="G70" i="1"/>
  <c r="G7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69" i="1"/>
  <c r="F70" i="1"/>
  <c r="F7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69" i="1"/>
  <c r="E70" i="1"/>
  <c r="E71" i="1"/>
  <c r="E2" i="1"/>
  <c r="D2" i="1" a="1"/>
  <c r="D2" i="1" s="1"/>
  <c r="D3" i="1" a="1"/>
  <c r="D3" i="1" s="1"/>
  <c r="D4" i="1" a="1"/>
  <c r="D4" i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69" i="1" a="1"/>
  <c r="D69" i="1" s="1"/>
  <c r="D70" i="1" a="1"/>
  <c r="D70" i="1" s="1"/>
  <c r="D71" i="1" a="1"/>
  <c r="D71" i="1" s="1"/>
  <c r="D1" i="1" a="1"/>
  <c r="D1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5" i="1" a="1"/>
  <c r="B65" i="1" s="1"/>
  <c r="B66" i="1" a="1"/>
  <c r="B66" i="1" s="1"/>
  <c r="B67" i="1" a="1"/>
  <c r="B67" i="1" s="1"/>
  <c r="B68" i="1" a="1"/>
  <c r="B68" i="1" s="1"/>
  <c r="B69" i="1" a="1"/>
  <c r="B69" i="1" s="1"/>
  <c r="B70" i="1" a="1"/>
  <c r="B70" i="1" s="1"/>
  <c r="B71" i="1" a="1"/>
  <c r="B71" i="1" s="1"/>
  <c r="B2" i="1" a="1"/>
  <c r="B2" i="1" s="1"/>
  <c r="B3" i="1" a="1"/>
  <c r="B3" i="1" s="1"/>
  <c r="B4" i="1" a="1"/>
  <c r="B4" i="1" s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" i="1" a="1"/>
  <c r="B1" i="1" s="1"/>
  <c r="J69" i="1" l="1"/>
  <c r="L69" i="1"/>
  <c r="K69" i="1"/>
  <c r="M69" i="1"/>
  <c r="N69" i="1"/>
  <c r="O69" i="1"/>
  <c r="L70" i="1"/>
  <c r="K70" i="1"/>
  <c r="J70" i="1"/>
  <c r="M70" i="1"/>
  <c r="N70" i="1"/>
  <c r="O70" i="1"/>
  <c r="K71" i="1"/>
  <c r="J71" i="1"/>
  <c r="L71" i="1"/>
  <c r="M71" i="1"/>
  <c r="N71" i="1"/>
  <c r="O71" i="1"/>
  <c r="C16" i="1"/>
  <c r="C17" i="1"/>
  <c r="D17" i="1" s="1" a="1"/>
  <c r="D17" i="1" s="1"/>
  <c r="E17" i="1" s="1"/>
  <c r="F17" i="1" s="1"/>
  <c r="C18" i="1"/>
  <c r="D18" i="1" s="1" a="1"/>
  <c r="D18" i="1" s="1"/>
  <c r="E18" i="1" s="1"/>
  <c r="F18" i="1" s="1"/>
  <c r="C19" i="1"/>
  <c r="D19" i="1" s="1" a="1"/>
  <c r="D19" i="1" s="1"/>
  <c r="E19" i="1" s="1"/>
  <c r="F19" i="1" s="1"/>
  <c r="C20" i="1"/>
  <c r="D20" i="1" s="1" a="1"/>
  <c r="D20" i="1" s="1"/>
  <c r="E20" i="1" s="1"/>
  <c r="F20" i="1" s="1"/>
  <c r="C21" i="1"/>
  <c r="D21" i="1" s="1" a="1"/>
  <c r="D21" i="1" s="1"/>
  <c r="E21" i="1" s="1"/>
  <c r="F21" i="1" s="1"/>
  <c r="C22" i="1"/>
  <c r="D22" i="1" s="1" a="1"/>
  <c r="D22" i="1" s="1"/>
  <c r="E22" i="1" s="1"/>
  <c r="F22" i="1" s="1"/>
  <c r="C23" i="1"/>
  <c r="D23" i="1" s="1" a="1"/>
  <c r="D23" i="1" s="1"/>
  <c r="E23" i="1" s="1"/>
  <c r="F23" i="1" s="1"/>
  <c r="G23" i="1" s="1"/>
  <c r="H23" i="1" s="1"/>
  <c r="C24" i="1"/>
  <c r="D24" i="1" s="1" a="1"/>
  <c r="D24" i="1" s="1"/>
  <c r="E24" i="1" s="1"/>
  <c r="F24" i="1" s="1"/>
  <c r="C25" i="1"/>
  <c r="D25" i="1" s="1" a="1"/>
  <c r="D25" i="1" s="1"/>
  <c r="E25" i="1" s="1"/>
  <c r="F25" i="1" s="1"/>
  <c r="C26" i="1"/>
  <c r="D26" i="1" s="1" a="1"/>
  <c r="D26" i="1" s="1"/>
  <c r="E26" i="1" s="1"/>
  <c r="F26" i="1" s="1"/>
  <c r="C27" i="1"/>
  <c r="D27" i="1" s="1" a="1"/>
  <c r="D27" i="1" s="1"/>
  <c r="E27" i="1" s="1"/>
  <c r="F27" i="1" s="1"/>
  <c r="C28" i="1"/>
  <c r="D28" i="1" s="1" a="1"/>
  <c r="D28" i="1" s="1"/>
  <c r="E28" i="1" s="1"/>
  <c r="F28" i="1" s="1"/>
  <c r="C29" i="1"/>
  <c r="D29" i="1" s="1" a="1"/>
  <c r="D29" i="1" s="1"/>
  <c r="E29" i="1" s="1"/>
  <c r="F29" i="1" s="1"/>
  <c r="C30" i="1"/>
  <c r="D30" i="1" s="1" a="1"/>
  <c r="D30" i="1" s="1"/>
  <c r="E30" i="1" s="1"/>
  <c r="F30" i="1" s="1"/>
  <c r="C31" i="1"/>
  <c r="D31" i="1" s="1" a="1"/>
  <c r="D31" i="1" s="1"/>
  <c r="E31" i="1" s="1"/>
  <c r="F31" i="1" s="1"/>
  <c r="C32" i="1"/>
  <c r="D32" i="1" s="1" a="1"/>
  <c r="D32" i="1" s="1"/>
  <c r="E32" i="1" s="1"/>
  <c r="F32" i="1" s="1"/>
  <c r="C33" i="1"/>
  <c r="D33" i="1" s="1" a="1"/>
  <c r="D33" i="1" s="1"/>
  <c r="E33" i="1" s="1"/>
  <c r="F33" i="1" s="1"/>
  <c r="C34" i="1"/>
  <c r="D34" i="1" s="1" a="1"/>
  <c r="D34" i="1" s="1"/>
  <c r="E34" i="1" s="1"/>
  <c r="F34" i="1" s="1"/>
  <c r="C35" i="1"/>
  <c r="D35" i="1" s="1" a="1"/>
  <c r="D35" i="1" s="1"/>
  <c r="E35" i="1" s="1"/>
  <c r="F35" i="1" s="1"/>
  <c r="C36" i="1"/>
  <c r="D36" i="1" s="1" a="1"/>
  <c r="D36" i="1" s="1"/>
  <c r="E36" i="1" s="1"/>
  <c r="F36" i="1" s="1"/>
  <c r="C37" i="1"/>
  <c r="D37" i="1" s="1" a="1"/>
  <c r="D37" i="1" s="1"/>
  <c r="E37" i="1" s="1"/>
  <c r="F37" i="1" s="1"/>
  <c r="C38" i="1"/>
  <c r="D38" i="1" s="1" a="1"/>
  <c r="D38" i="1" s="1"/>
  <c r="E38" i="1" s="1"/>
  <c r="F38" i="1" s="1"/>
  <c r="C39" i="1"/>
  <c r="D39" i="1" s="1" a="1"/>
  <c r="D39" i="1" s="1"/>
  <c r="E39" i="1" s="1"/>
  <c r="F39" i="1" s="1"/>
  <c r="C40" i="1"/>
  <c r="D40" i="1" s="1" a="1"/>
  <c r="D40" i="1" s="1"/>
  <c r="E40" i="1" s="1"/>
  <c r="F40" i="1" s="1"/>
  <c r="C41" i="1"/>
  <c r="D41" i="1" s="1" a="1"/>
  <c r="D41" i="1" s="1"/>
  <c r="E41" i="1" s="1"/>
  <c r="F41" i="1" s="1"/>
  <c r="C42" i="1"/>
  <c r="D42" i="1" s="1" a="1"/>
  <c r="D42" i="1" s="1"/>
  <c r="E42" i="1" s="1"/>
  <c r="F42" i="1" s="1"/>
  <c r="C43" i="1"/>
  <c r="D43" i="1" s="1" a="1"/>
  <c r="D43" i="1" s="1"/>
  <c r="E43" i="1" s="1"/>
  <c r="F43" i="1" s="1"/>
  <c r="C44" i="1"/>
  <c r="D44" i="1" s="1" a="1"/>
  <c r="D44" i="1" s="1"/>
  <c r="E44" i="1" s="1"/>
  <c r="F44" i="1" s="1"/>
  <c r="C45" i="1"/>
  <c r="D45" i="1" s="1" a="1"/>
  <c r="D45" i="1" s="1"/>
  <c r="E45" i="1" s="1"/>
  <c r="F45" i="1" s="1"/>
  <c r="C46" i="1"/>
  <c r="D46" i="1" s="1" a="1"/>
  <c r="D46" i="1" s="1"/>
  <c r="E46" i="1" s="1"/>
  <c r="F46" i="1" s="1"/>
  <c r="C47" i="1"/>
  <c r="D47" i="1" s="1" a="1"/>
  <c r="D47" i="1" s="1"/>
  <c r="E47" i="1" s="1"/>
  <c r="F47" i="1" s="1"/>
  <c r="C48" i="1"/>
  <c r="D48" i="1" s="1" a="1"/>
  <c r="D48" i="1" s="1"/>
  <c r="E48" i="1" s="1"/>
  <c r="F48" i="1" s="1"/>
  <c r="C49" i="1"/>
  <c r="D49" i="1" s="1" a="1"/>
  <c r="D49" i="1" s="1"/>
  <c r="E49" i="1" s="1"/>
  <c r="F49" i="1" s="1"/>
  <c r="C50" i="1"/>
  <c r="D50" i="1" s="1" a="1"/>
  <c r="D50" i="1" s="1"/>
  <c r="E50" i="1" s="1"/>
  <c r="F50" i="1" s="1"/>
  <c r="C51" i="1"/>
  <c r="D51" i="1" s="1" a="1"/>
  <c r="D51" i="1" s="1"/>
  <c r="E51" i="1" s="1"/>
  <c r="F51" i="1" s="1"/>
  <c r="G51" i="1" s="1"/>
  <c r="C52" i="1"/>
  <c r="D52" i="1" s="1" a="1"/>
  <c r="D52" i="1" s="1"/>
  <c r="E52" i="1" s="1"/>
  <c r="F52" i="1" s="1"/>
  <c r="C53" i="1"/>
  <c r="D53" i="1" s="1" a="1"/>
  <c r="D53" i="1" s="1"/>
  <c r="E53" i="1" s="1"/>
  <c r="F53" i="1" s="1"/>
  <c r="C54" i="1"/>
  <c r="D54" i="1" s="1" a="1"/>
  <c r="D54" i="1" s="1"/>
  <c r="E54" i="1" s="1"/>
  <c r="F54" i="1" s="1"/>
  <c r="C55" i="1"/>
  <c r="D55" i="1" s="1" a="1"/>
  <c r="D55" i="1" s="1"/>
  <c r="E55" i="1" s="1"/>
  <c r="F55" i="1" s="1"/>
  <c r="C56" i="1"/>
  <c r="D56" i="1" s="1" a="1"/>
  <c r="D56" i="1" s="1"/>
  <c r="E56" i="1" s="1"/>
  <c r="F56" i="1" s="1"/>
  <c r="C57" i="1"/>
  <c r="D57" i="1" s="1" a="1"/>
  <c r="D57" i="1" s="1"/>
  <c r="E57" i="1" s="1"/>
  <c r="F57" i="1" s="1"/>
  <c r="C58" i="1"/>
  <c r="D58" i="1" s="1" a="1"/>
  <c r="D58" i="1" s="1"/>
  <c r="E58" i="1" s="1"/>
  <c r="F58" i="1" s="1"/>
  <c r="C59" i="1"/>
  <c r="D59" i="1" s="1" a="1"/>
  <c r="D59" i="1" s="1"/>
  <c r="E59" i="1" s="1"/>
  <c r="F59" i="1" s="1"/>
  <c r="C60" i="1"/>
  <c r="D60" i="1" s="1" a="1"/>
  <c r="D60" i="1" s="1"/>
  <c r="E60" i="1" s="1"/>
  <c r="F60" i="1" s="1"/>
  <c r="C61" i="1"/>
  <c r="D61" i="1" s="1" a="1"/>
  <c r="D61" i="1" s="1"/>
  <c r="E61" i="1" s="1"/>
  <c r="F61" i="1" s="1"/>
  <c r="C62" i="1"/>
  <c r="D62" i="1" s="1" a="1"/>
  <c r="D62" i="1" s="1"/>
  <c r="E62" i="1" s="1"/>
  <c r="F62" i="1" s="1"/>
  <c r="C63" i="1"/>
  <c r="D63" i="1" s="1" a="1"/>
  <c r="D63" i="1" s="1"/>
  <c r="E63" i="1" s="1"/>
  <c r="F63" i="1" s="1"/>
  <c r="C64" i="1"/>
  <c r="D64" i="1" s="1" a="1"/>
  <c r="D64" i="1" s="1"/>
  <c r="E64" i="1" s="1"/>
  <c r="F64" i="1" s="1"/>
  <c r="G64" i="1" s="1"/>
  <c r="C65" i="1"/>
  <c r="D65" i="1" s="1" a="1"/>
  <c r="D65" i="1" s="1"/>
  <c r="E65" i="1" s="1"/>
  <c r="F65" i="1" s="1"/>
  <c r="G65" i="1" s="1"/>
  <c r="C66" i="1"/>
  <c r="D66" i="1" s="1" a="1"/>
  <c r="D66" i="1" s="1"/>
  <c r="E66" i="1" s="1"/>
  <c r="F66" i="1" s="1"/>
  <c r="C67" i="1"/>
  <c r="D67" i="1" s="1" a="1"/>
  <c r="D67" i="1" s="1"/>
  <c r="E67" i="1" s="1"/>
  <c r="F67" i="1" s="1"/>
  <c r="C68" i="1"/>
  <c r="D68" i="1" s="1" a="1"/>
  <c r="D68" i="1" s="1"/>
  <c r="E68" i="1" s="1"/>
  <c r="F68" i="1" s="1"/>
  <c r="C69" i="1"/>
  <c r="C70" i="1"/>
  <c r="C7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" i="1"/>
  <c r="K23" i="1" l="1"/>
  <c r="L23" i="1"/>
  <c r="J23" i="1"/>
  <c r="I23" i="1"/>
  <c r="O23" i="1" l="1"/>
  <c r="N23" i="1"/>
  <c r="P23" i="1" s="1"/>
  <c r="Q23" i="1" s="1"/>
  <c r="M23" i="1"/>
  <c r="H24" i="1"/>
  <c r="K24" i="1" l="1"/>
  <c r="L24" i="1"/>
  <c r="J24" i="1"/>
  <c r="I24" i="1"/>
  <c r="O24" i="1" l="1"/>
  <c r="N24" i="1"/>
  <c r="P24" i="1" s="1"/>
  <c r="Q24" i="1" s="1"/>
  <c r="M24" i="1"/>
  <c r="H25" i="1"/>
  <c r="K25" i="1" l="1"/>
  <c r="L25" i="1"/>
  <c r="J25" i="1"/>
  <c r="I25" i="1"/>
  <c r="O25" i="1" l="1"/>
  <c r="N25" i="1"/>
  <c r="M25" i="1"/>
  <c r="H26" i="1"/>
  <c r="J26" i="1" l="1"/>
  <c r="K26" i="1"/>
  <c r="L26" i="1"/>
  <c r="I26" i="1"/>
  <c r="P25" i="1"/>
  <c r="Q25" i="1" s="1"/>
  <c r="O26" i="1" l="1"/>
  <c r="N26" i="1"/>
  <c r="M26" i="1"/>
  <c r="H27" i="1"/>
  <c r="K27" i="1" l="1"/>
  <c r="J27" i="1"/>
  <c r="L27" i="1"/>
  <c r="I27" i="1"/>
  <c r="P26" i="1"/>
  <c r="Q26" i="1" s="1"/>
  <c r="O27" i="1" l="1"/>
  <c r="N27" i="1"/>
  <c r="P27" i="1" s="1"/>
  <c r="Q27" i="1" s="1"/>
  <c r="M27" i="1"/>
  <c r="H28" i="1"/>
  <c r="K28" i="1" l="1"/>
  <c r="J28" i="1"/>
  <c r="L28" i="1"/>
  <c r="I28" i="1"/>
  <c r="O28" i="1" l="1"/>
  <c r="N28" i="1"/>
  <c r="M28" i="1"/>
  <c r="H29" i="1"/>
  <c r="J29" i="1" l="1"/>
  <c r="K29" i="1"/>
  <c r="L29" i="1"/>
  <c r="I29" i="1"/>
  <c r="P28" i="1"/>
  <c r="Q28" i="1" s="1"/>
  <c r="O29" i="1" l="1"/>
  <c r="N29" i="1"/>
  <c r="P29" i="1" s="1"/>
  <c r="Q29" i="1" s="1"/>
  <c r="M29" i="1"/>
  <c r="H30" i="1"/>
  <c r="K30" i="1" l="1"/>
  <c r="J30" i="1"/>
  <c r="L30" i="1"/>
  <c r="I30" i="1"/>
  <c r="O30" i="1" l="1"/>
  <c r="N30" i="1"/>
  <c r="M30" i="1"/>
  <c r="H31" i="1"/>
  <c r="J31" i="1" l="1"/>
  <c r="K31" i="1"/>
  <c r="L31" i="1"/>
  <c r="I31" i="1"/>
  <c r="P30" i="1"/>
  <c r="Q30" i="1" s="1"/>
  <c r="O31" i="1" l="1"/>
  <c r="N31" i="1"/>
  <c r="P31" i="1" s="1"/>
  <c r="Q31" i="1" s="1"/>
  <c r="M31" i="1"/>
  <c r="H32" i="1"/>
  <c r="K32" i="1" l="1"/>
  <c r="J32" i="1"/>
  <c r="L32" i="1"/>
  <c r="I32" i="1"/>
  <c r="O32" i="1" l="1"/>
  <c r="N32" i="1"/>
  <c r="M32" i="1"/>
  <c r="H33" i="1"/>
  <c r="P32" i="1" l="1"/>
  <c r="Q32" i="1" s="1"/>
  <c r="K33" i="1"/>
  <c r="J33" i="1"/>
  <c r="L33" i="1"/>
  <c r="I33" i="1"/>
  <c r="O33" i="1" l="1"/>
  <c r="N33" i="1"/>
  <c r="M33" i="1"/>
  <c r="H34" i="1"/>
  <c r="K34" i="1" l="1"/>
  <c r="L34" i="1"/>
  <c r="J34" i="1"/>
  <c r="I34" i="1"/>
  <c r="P33" i="1"/>
  <c r="Q33" i="1" s="1"/>
  <c r="O34" i="1" l="1"/>
  <c r="N34" i="1"/>
  <c r="P34" i="1" s="1"/>
  <c r="Q34" i="1" s="1"/>
  <c r="M34" i="1"/>
  <c r="H35" i="1"/>
  <c r="K35" i="1" l="1"/>
  <c r="L35" i="1"/>
  <c r="J35" i="1"/>
  <c r="I35" i="1"/>
  <c r="O35" i="1" l="1"/>
  <c r="N35" i="1"/>
  <c r="P35" i="1" s="1"/>
  <c r="Q35" i="1" s="1"/>
  <c r="M35" i="1"/>
  <c r="H36" i="1"/>
  <c r="K36" i="1" l="1"/>
  <c r="L36" i="1"/>
  <c r="J36" i="1"/>
  <c r="I36" i="1"/>
  <c r="O36" i="1" l="1"/>
  <c r="N36" i="1"/>
  <c r="M36" i="1"/>
  <c r="H37" i="1"/>
  <c r="P36" i="1" l="1"/>
  <c r="Q36" i="1" s="1"/>
  <c r="K37" i="1"/>
  <c r="L37" i="1"/>
  <c r="J37" i="1"/>
  <c r="I37" i="1"/>
  <c r="O37" i="1" l="1"/>
  <c r="N37" i="1"/>
  <c r="M37" i="1"/>
  <c r="H38" i="1"/>
  <c r="J38" i="1" l="1"/>
  <c r="K38" i="1"/>
  <c r="L38" i="1"/>
  <c r="I38" i="1"/>
  <c r="P37" i="1"/>
  <c r="Q37" i="1" s="1"/>
  <c r="O38" i="1" l="1"/>
  <c r="N38" i="1"/>
  <c r="M38" i="1"/>
  <c r="H39" i="1"/>
  <c r="K39" i="1" l="1"/>
  <c r="L39" i="1"/>
  <c r="J39" i="1"/>
  <c r="I39" i="1"/>
  <c r="P38" i="1"/>
  <c r="Q38" i="1" s="1"/>
  <c r="O39" i="1" l="1"/>
  <c r="N39" i="1"/>
  <c r="M39" i="1"/>
  <c r="H40" i="1"/>
  <c r="K40" i="1" l="1"/>
  <c r="L40" i="1"/>
  <c r="J40" i="1"/>
  <c r="I40" i="1"/>
  <c r="P39" i="1"/>
  <c r="Q39" i="1" s="1"/>
  <c r="O40" i="1" l="1"/>
  <c r="N40" i="1"/>
  <c r="M40" i="1"/>
  <c r="H41" i="1"/>
  <c r="K41" i="1" l="1"/>
  <c r="L41" i="1"/>
  <c r="J41" i="1"/>
  <c r="I41" i="1"/>
  <c r="P40" i="1"/>
  <c r="Q40" i="1" s="1"/>
  <c r="O41" i="1" l="1"/>
  <c r="N41" i="1"/>
  <c r="P41" i="1" s="1"/>
  <c r="Q41" i="1" s="1"/>
  <c r="M41" i="1"/>
  <c r="H42" i="1"/>
  <c r="J42" i="1" l="1"/>
  <c r="K42" i="1"/>
  <c r="L42" i="1"/>
  <c r="I42" i="1"/>
  <c r="O42" i="1" l="1"/>
  <c r="N42" i="1"/>
  <c r="M42" i="1"/>
  <c r="H43" i="1"/>
  <c r="K43" i="1" l="1"/>
  <c r="L43" i="1"/>
  <c r="J43" i="1"/>
  <c r="I43" i="1"/>
  <c r="P42" i="1"/>
  <c r="Q42" i="1" s="1"/>
  <c r="O43" i="1" l="1"/>
  <c r="N43" i="1"/>
  <c r="P43" i="1" s="1"/>
  <c r="Q43" i="1" s="1"/>
  <c r="M43" i="1"/>
  <c r="H44" i="1"/>
  <c r="K44" i="1" l="1"/>
  <c r="L44" i="1"/>
  <c r="J44" i="1"/>
  <c r="I44" i="1"/>
  <c r="O44" i="1" l="1"/>
  <c r="N44" i="1"/>
  <c r="M44" i="1"/>
  <c r="H45" i="1"/>
  <c r="P44" i="1" l="1"/>
  <c r="Q44" i="1" s="1"/>
  <c r="J45" i="1"/>
  <c r="K45" i="1"/>
  <c r="L45" i="1"/>
  <c r="I45" i="1"/>
  <c r="O45" i="1" l="1"/>
  <c r="N45" i="1"/>
  <c r="M45" i="1"/>
  <c r="H46" i="1"/>
  <c r="K46" i="1" l="1"/>
  <c r="L46" i="1"/>
  <c r="J46" i="1"/>
  <c r="I46" i="1"/>
  <c r="P45" i="1"/>
  <c r="Q45" i="1" s="1"/>
  <c r="O46" i="1" l="1"/>
  <c r="N46" i="1"/>
  <c r="P46" i="1" s="1"/>
  <c r="Q46" i="1" s="1"/>
  <c r="M46" i="1"/>
  <c r="H47" i="1"/>
  <c r="K47" i="1" l="1"/>
  <c r="L47" i="1"/>
  <c r="J47" i="1"/>
  <c r="I47" i="1"/>
  <c r="O47" i="1" l="1"/>
  <c r="N47" i="1"/>
  <c r="M47" i="1"/>
  <c r="H48" i="1"/>
  <c r="P47" i="1" l="1"/>
  <c r="Q47" i="1" s="1"/>
  <c r="J48" i="1"/>
  <c r="K48" i="1"/>
  <c r="L48" i="1"/>
  <c r="I48" i="1"/>
  <c r="O48" i="1" l="1"/>
  <c r="N48" i="1"/>
  <c r="M48" i="1"/>
  <c r="H49" i="1"/>
  <c r="P48" i="1" l="1"/>
  <c r="Q48" i="1" s="1"/>
  <c r="K49" i="1"/>
  <c r="L49" i="1"/>
  <c r="J49" i="1"/>
  <c r="I49" i="1"/>
  <c r="O49" i="1" l="1"/>
  <c r="N49" i="1"/>
  <c r="M49" i="1"/>
  <c r="H50" i="1"/>
  <c r="K50" i="1" l="1"/>
  <c r="L50" i="1"/>
  <c r="J50" i="1"/>
  <c r="I50" i="1"/>
  <c r="P49" i="1"/>
  <c r="Q49" i="1" s="1"/>
  <c r="O50" i="1" l="1"/>
  <c r="N50" i="1"/>
  <c r="P50" i="1" s="1"/>
  <c r="Q50" i="1" s="1"/>
  <c r="M50" i="1"/>
  <c r="H51" i="1"/>
  <c r="J51" i="1" l="1"/>
  <c r="K51" i="1"/>
  <c r="L51" i="1"/>
  <c r="I51" i="1"/>
  <c r="O51" i="1" l="1"/>
  <c r="N51" i="1"/>
  <c r="P51" i="1" s="1"/>
  <c r="Q51" i="1" s="1"/>
  <c r="M51" i="1"/>
  <c r="H52" i="1"/>
  <c r="K52" i="1" l="1"/>
  <c r="L52" i="1"/>
  <c r="J52" i="1"/>
  <c r="I52" i="1"/>
  <c r="O52" i="1" l="1"/>
  <c r="N52" i="1"/>
  <c r="P52" i="1" s="1"/>
  <c r="Q52" i="1" s="1"/>
  <c r="M52" i="1"/>
  <c r="H53" i="1"/>
  <c r="K53" i="1" l="1"/>
  <c r="L53" i="1"/>
  <c r="J53" i="1"/>
  <c r="I53" i="1"/>
  <c r="O53" i="1" l="1"/>
  <c r="N53" i="1"/>
  <c r="M53" i="1"/>
  <c r="H54" i="1"/>
  <c r="K54" i="1" l="1"/>
  <c r="L54" i="1"/>
  <c r="J54" i="1"/>
  <c r="I54" i="1"/>
  <c r="P53" i="1"/>
  <c r="Q53" i="1" s="1"/>
  <c r="O54" i="1" l="1"/>
  <c r="N54" i="1"/>
  <c r="P54" i="1" s="1"/>
  <c r="Q54" i="1" s="1"/>
  <c r="M54" i="1"/>
  <c r="H55" i="1"/>
  <c r="J55" i="1" l="1"/>
  <c r="K55" i="1"/>
  <c r="L55" i="1"/>
  <c r="I55" i="1"/>
  <c r="O55" i="1" l="1"/>
  <c r="N55" i="1"/>
  <c r="M55" i="1"/>
  <c r="H56" i="1"/>
  <c r="K56" i="1" l="1"/>
  <c r="L56" i="1"/>
  <c r="J56" i="1"/>
  <c r="I56" i="1"/>
  <c r="P55" i="1"/>
  <c r="Q55" i="1" s="1"/>
  <c r="O56" i="1" l="1"/>
  <c r="N56" i="1"/>
  <c r="P56" i="1" s="1"/>
  <c r="Q56" i="1" s="1"/>
  <c r="M56" i="1"/>
  <c r="H57" i="1"/>
  <c r="K57" i="1" l="1"/>
  <c r="L57" i="1"/>
  <c r="J57" i="1"/>
  <c r="I57" i="1"/>
  <c r="O57" i="1" l="1"/>
  <c r="N57" i="1"/>
  <c r="M57" i="1"/>
  <c r="H58" i="1"/>
  <c r="P57" i="1" l="1"/>
  <c r="Q57" i="1" s="1"/>
  <c r="J58" i="1"/>
  <c r="K58" i="1"/>
  <c r="L58" i="1"/>
  <c r="I58" i="1"/>
  <c r="O58" i="1" l="1"/>
  <c r="N58" i="1"/>
  <c r="P58" i="1" s="1"/>
  <c r="Q58" i="1" s="1"/>
  <c r="M58" i="1"/>
  <c r="H59" i="1"/>
  <c r="K59" i="1" l="1"/>
  <c r="L59" i="1"/>
  <c r="J59" i="1"/>
  <c r="I59" i="1"/>
  <c r="O59" i="1" l="1"/>
  <c r="M59" i="1"/>
  <c r="N59" i="1"/>
  <c r="H60" i="1"/>
  <c r="J60" i="1" l="1"/>
  <c r="K60" i="1"/>
  <c r="L60" i="1"/>
  <c r="I60" i="1"/>
  <c r="P59" i="1"/>
  <c r="Q59" i="1" s="1"/>
  <c r="N60" i="1" l="1"/>
  <c r="P60" i="1" s="1"/>
  <c r="Q60" i="1" s="1"/>
  <c r="O60" i="1"/>
  <c r="M60" i="1"/>
  <c r="H61" i="1"/>
  <c r="K61" i="1" l="1"/>
  <c r="L61" i="1"/>
  <c r="J61" i="1"/>
  <c r="I61" i="1"/>
  <c r="O61" i="1" l="1"/>
  <c r="M61" i="1"/>
  <c r="N61" i="1"/>
  <c r="P61" i="1" s="1"/>
  <c r="Q61" i="1" s="1"/>
  <c r="H62" i="1"/>
  <c r="J62" i="1" l="1"/>
  <c r="K62" i="1"/>
  <c r="L62" i="1"/>
  <c r="I62" i="1"/>
  <c r="O62" i="1" l="1"/>
  <c r="N62" i="1"/>
  <c r="M62" i="1"/>
  <c r="H63" i="1"/>
  <c r="P62" i="1" l="1"/>
  <c r="Q62" i="1" s="1"/>
  <c r="K63" i="1"/>
  <c r="L63" i="1"/>
  <c r="J63" i="1"/>
  <c r="I63" i="1"/>
  <c r="O63" i="1" l="1"/>
  <c r="N63" i="1"/>
  <c r="M63" i="1"/>
  <c r="H64" i="1"/>
  <c r="J64" i="1" l="1"/>
  <c r="K64" i="1"/>
  <c r="L64" i="1"/>
  <c r="I64" i="1"/>
  <c r="P63" i="1"/>
  <c r="Q63" i="1" s="1"/>
  <c r="O64" i="1" l="1"/>
  <c r="N64" i="1"/>
  <c r="M64" i="1"/>
  <c r="H65" i="1"/>
  <c r="K65" i="1" l="1"/>
  <c r="L65" i="1"/>
  <c r="J65" i="1"/>
  <c r="I65" i="1"/>
  <c r="P64" i="1"/>
  <c r="Q64" i="1" s="1"/>
  <c r="O65" i="1" l="1"/>
  <c r="N65" i="1"/>
  <c r="M65" i="1"/>
  <c r="H66" i="1"/>
  <c r="J66" i="1" l="1"/>
  <c r="K66" i="1"/>
  <c r="L66" i="1"/>
  <c r="I66" i="1"/>
  <c r="P65" i="1"/>
  <c r="Q65" i="1" s="1"/>
  <c r="O66" i="1" l="1"/>
  <c r="N66" i="1"/>
  <c r="M66" i="1"/>
  <c r="H67" i="1"/>
  <c r="K67" i="1" l="1"/>
  <c r="L67" i="1"/>
  <c r="J67" i="1"/>
  <c r="I67" i="1"/>
  <c r="O67" i="1" l="1"/>
  <c r="N67" i="1"/>
  <c r="M67" i="1"/>
  <c r="H68" i="1"/>
  <c r="J68" i="1" l="1"/>
  <c r="K68" i="1"/>
  <c r="L68" i="1"/>
  <c r="I68" i="1"/>
  <c r="P67" i="1"/>
  <c r="Q67" i="1" s="1"/>
  <c r="O68" i="1" l="1"/>
  <c r="N68" i="1"/>
  <c r="M68" i="1"/>
  <c r="P68" i="1" l="1"/>
  <c r="Q6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<sst xmlns="http://schemas.openxmlformats.org/spreadsheetml/2006/main" count="83" uniqueCount="80">
  <si>
    <t>CONTENTS</t>
  </si>
  <si>
    <t>Preface xi</t>
  </si>
  <si>
    <t>Introduction xv</t>
  </si>
  <si>
    <t>Source Basis and Verification 1</t>
  </si>
  <si>
    <t>Part I 3</t>
  </si>
  <si>
    <t>1. The Problem of Measuring Democracy 5</t>
  </si>
  <si>
    <t>2. Why Government — and Why Democracy 9</t>
  </si>
  <si>
    <t>3. Promises as Constitutional Design 15</t>
  </si>
  <si>
    <t>4. The Six Democratic Imperatives 21</t>
  </si>
  <si>
    <t>5. The Six Civic Deliverables 25</t>
  </si>
  <si>
    <t>6. The Moral Floor 31</t>
  </si>
  <si>
    <t>7. Diagnostics of a Failing Republic 37</t>
  </si>
  <si>
    <t>8. Time as Democratic Evidence 49</t>
  </si>
  <si>
    <t>9. Interlude: From Inheritance to Measurement 55</t>
  </si>
  <si>
    <t>Part II 59</t>
  </si>
  <si>
    <t>10. Reading Democratic Time: A Note on Method 61</t>
  </si>
  <si>
    <t>Epilogue 681</t>
  </si>
  <si>
    <t>About the Author 683</t>
  </si>
  <si>
    <t>Also by Jim Vincent 685</t>
  </si>
  <si>
    <t>Has Chap No</t>
  </si>
  <si>
    <t>11. Week 1: Emergencies as Operating System 65</t>
  </si>
  <si>
    <t>12. Week 2: Law and Memory as Weapons 77</t>
  </si>
  <si>
    <t>13. Week 3: Systems as Spoils 89</t>
  </si>
  <si>
    <t>14. Week 4: DOGE as Parallel Statecraft 101</t>
  </si>
  <si>
    <t>15. Week 5: The State as Personal Instrument 113</t>
  </si>
  <si>
    <t>16. Week 6: Bureaucracy as Patronage Engine 125</t>
  </si>
  <si>
    <t>18. Week 8: Citizenship and Service as Leverage 151</t>
  </si>
  <si>
    <t>19. Week 9: Emergency Powers as Routine Governance 163</t>
  </si>
  <si>
    <t>20. Week 10: Voter Rolls as Leverage 175</t>
  </si>
  <si>
    <t>21. Week 11: Chaos as Methodical Governance 185</t>
  </si>
  <si>
    <t>22. Week 12: Emergency Powers as Routine Governance 197</t>
  </si>
  <si>
    <t>23. Week 13: Loyalty as Daily Governance 209</t>
  </si>
  <si>
    <t>24. Week 14: Universities and Borders as Levers 219</t>
  </si>
  <si>
    <t>25. Week 15: Emergency Rule as Routine Governance 231</t>
  </si>
  <si>
    <t>26. Week 16: Stratified Rights as Routine Governance 243</t>
  </si>
  <si>
    <t>27. Week 17: Citizenship as Leverage 255</t>
  </si>
  <si>
    <t>28. Week 18: Inequality as Operating System 267</t>
  </si>
  <si>
    <t>29. Week 19: Institutions as Instruments of Loyalty 279</t>
  </si>
  <si>
    <t>30. Week 20: Surveillance as Everyday Governance 291</t>
  </si>
  <si>
    <t>31. Week 21: Emergency Powers as Routine Governance 303</t>
  </si>
  <si>
    <t>32. Week 22: Citizenship as Sorting Mechanism 315</t>
  </si>
  <si>
    <t>33. Week 23: Secrecy as War-Making Method 325</t>
  </si>
  <si>
    <t>34. Week 24: Hardwiring Inequality as Governance 337</t>
  </si>
  <si>
    <t>35. Week 25: Immunity as Architecture of Power 351</t>
  </si>
  <si>
    <t>36. Week 26: Data and Force as Governance 365</t>
  </si>
  <si>
    <t>37. Week 27: Databases and Detention as Governance 375</t>
  </si>
  <si>
    <t>38. Week 28: Confinement as Governance 385</t>
  </si>
  <si>
    <t>39. Week 29: Law, Maps, and Memory as Control 395</t>
  </si>
  <si>
    <t>40. Week 30: Emergency as Method in Washington 407</t>
  </si>
  <si>
    <t>41. Week 31: Emergency as Governing Method 419</t>
  </si>
  <si>
    <t>42. Week 32: Emergencies as Everyday Rule 431</t>
  </si>
  <si>
    <t>43. Week 33: Authoritarian Powers as Policy 443</t>
  </si>
  <si>
    <t>44. Week 34: Military Governance as Routine 455</t>
  </si>
  <si>
    <t>46. Week 36: Law, Hunger, and Silence as Leverage 481</t>
  </si>
  <si>
    <t>47. Week 37: Shutdown as Quiet Purge 491</t>
  </si>
  <si>
    <t>48. Week 38: Shutdown as Weaponry 503</t>
  </si>
  <si>
    <t>49. Week 39: Shutdown as Weaponized Governance 515</t>
  </si>
  <si>
    <t>50. Week 40: Ballroom as Blueprint 527</t>
  </si>
  <si>
    <t>51. Week 41: Shutdown and Ballrooms as Rule 539</t>
  </si>
  <si>
    <t>52. Week 42: Hunger and Pardons as Power 549</t>
  </si>
  <si>
    <t>53. Week 43: Memory and Law as Weapons 561</t>
  </si>
  <si>
    <t>54. Week 44: Belonging Redrawn by Force 573</t>
  </si>
  <si>
    <t>55. Week 45: Law as Sorting Mechanism 587</t>
  </si>
  <si>
    <t>56. Week 46: Impunity as Operating System 599</t>
  </si>
  <si>
    <t>57. Week 47: Citizenship and Power for Sale 611</t>
  </si>
  <si>
    <t>60. Week 50: Consolidation as Governance 647</t>
  </si>
  <si>
    <t>61. Week 51: War, Oil, and Enforcement as Rule 657</t>
  </si>
  <si>
    <t>62. Week 52: Occupation as Governance 669</t>
  </si>
  <si>
    <t>Week Number</t>
  </si>
  <si>
    <t>Week Start</t>
  </si>
  <si>
    <t>Week End</t>
  </si>
  <si>
    <t>Day</t>
  </si>
  <si>
    <t>Month</t>
  </si>
  <si>
    <t>Year</t>
  </si>
  <si>
    <t>Date String</t>
  </si>
  <si>
    <t>(27 December 2025–2 January 2026)</t>
  </si>
  <si>
    <t>17. Week 7: Tools as Habit, Not Exception 137</t>
  </si>
  <si>
    <t>45. Week 35: Security as Presidential Clay 469</t>
  </si>
  <si>
    <t>58. Week 48: Memory as Instrument 623</t>
  </si>
  <si>
    <t>59. Week 49: Files as Instruments of Power 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</si>
</sst>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83273-32D9-D94B-843E-E9B7F68A6246}">
  <dimension ref="A1:Q71"/>
  <sheetViews>
    <sheetView tabSelected="1" topLeftCell="Q1" zoomScale="150" zoomScaleNormal="150" workbookViewId="0">
      <selection activeCell="Q2" sqref="Q2:Q71"/>
    </sheetView>
  </sheetViews>
  <sheetFormatPr baseColWidth="10" defaultRowHeight="16" x14ac:dyDescent="0.2"/>
  <cols>
    <col min="1" max="1" width="49.83203125" bestFit="1" customWidth="1"/>
    <col min="6" max="6" width="43.83203125" bestFit="1" customWidth="1"/>
    <col min="16" max="16" width="30.6640625" bestFit="1" customWidth="1"/>
    <col min="17" max="17" width="67.1640625" bestFit="1" customWidth="1"/>
  </cols>
  <sheetData>
    <row r="1" spans="1:17" x14ac:dyDescent="0.2">
      <c r="A1" t="s">
        <v>0</v>
      </c>
      <c r="B1" t="str" cm="1">
        <f t="array" ref="B1">_xlfn.TEXTJOIN("",,MID(A1,_xlfn.SEQUENCE(LEN(A1),,LEN(A1),-1),1))</f>
        <v>STNETNOC</v>
      </c>
      <c r="C1" t="str">
        <f>IF(ISERROR(FIND(" ",B1)),B1,MID(B1,FIND(" ",B1)+1,99))</f>
        <v>STNETNOC</v>
      </c>
      <c r="D1" t="str" cm="1">
        <f t="array" ref="D1">_xlfn.TEXTJOIN("",,MID(C1,_xlfn.SEQUENCE(LEN(C1),,LEN(C1),-1),1))</f>
        <v>CONTENTS</v>
      </c>
      <c r="E1" t="s">
        <v>19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71</v>
      </c>
      <c r="N1" t="s">
        <v>72</v>
      </c>
      <c r="O1" t="s">
        <v>73</v>
      </c>
      <c r="P1" t="s">
        <v>74</v>
      </c>
    </row>
    <row r="2" spans="1:17" x14ac:dyDescent="0.2">
      <c r="A2" t="s">
        <v>1</v>
      </c>
      <c r="B2" t="str" cm="1">
        <f t="array" ref="B2">_xlfn.TEXTJOIN("",,MID(A2,_xlfn.SEQUENCE(LEN(A2),,LEN(A2),-1),1))</f>
        <v>ix ecaferP</v>
      </c>
      <c r="C2" t="str">
        <f t="shared" ref="C2:C65" si="0">IF(ISERROR(FIND(" ",B2)),B2,MID(B2,FIND(" ",B2)+1,99))</f>
        <v>ecaferP</v>
      </c>
      <c r="D2" t="str" cm="1">
        <f t="array" ref="D2">_xlfn.TEXTJOIN("",,MID(C2,_xlfn.SEQUENCE(LEN(C2),,LEN(C2),-1),1))</f>
        <v>Preface</v>
      </c>
      <c r="E2" t="str">
        <f>IF(ISERROR(VALUE(LEFT(D2,1))),"","Yes")</f>
        <v/>
      </c>
      <c r="F2" t="str">
        <f>IF(E2="",D2,MID(D2,FIND(". ",D2)+2,99))</f>
        <v>Preface</v>
      </c>
      <c r="G2" t="str">
        <f>IF(LEFT(F2,4)&lt;&gt;"Week","",VALUE(MID(F2,6,FIND(":",F2)-6)))</f>
        <v/>
      </c>
      <c r="H2" t="str">
        <f>IF(G2="","",IF(G2=1,DATEVALUE("20 January 2025"),"xxx"))</f>
        <v/>
      </c>
      <c r="I2" t="str">
        <f>IF(G2="","",IF(G2=1,DATEVALUE("24 January 2025"),"xxx"))</f>
        <v/>
      </c>
      <c r="J2" t="str">
        <f>IF(H2="","",DAY(H2))</f>
        <v/>
      </c>
      <c r="K2" t="str">
        <f>IF(H2="","",MONTH(H2))</f>
        <v/>
      </c>
      <c r="L2" t="str">
        <f>IF(H2="","",YEAR(H2))</f>
        <v/>
      </c>
      <c r="M2" t="str">
        <f>IF(I2="","",DAY(I2))</f>
        <v/>
      </c>
      <c r="N2" t="str">
        <f>IF(I2="","",MONTH(I2))</f>
        <v/>
      </c>
      <c r="O2" t="str">
        <f>IF(I2="","",YEAR(I2))</f>
        <v/>
      </c>
      <c r="Q2" t="str">
        <f>IF(P2="",F2,"Week "&amp;G2&amp;" "&amp;P2&amp;" "&amp;F2)</f>
        <v>Preface</v>
      </c>
    </row>
    <row r="3" spans="1:17" x14ac:dyDescent="0.2">
      <c r="A3" t="s">
        <v>2</v>
      </c>
      <c r="B3" t="str" cm="1">
        <f t="array" ref="B3">_xlfn.TEXTJOIN("",,MID(A3,_xlfn.SEQUENCE(LEN(A3),,LEN(A3),-1),1))</f>
        <v>vx noitcudortnI</v>
      </c>
      <c r="C3" t="str">
        <f t="shared" si="0"/>
        <v>noitcudortnI</v>
      </c>
      <c r="D3" t="str" cm="1">
        <f t="array" ref="D3">_xlfn.TEXTJOIN("",,MID(C3,_xlfn.SEQUENCE(LEN(C3),,LEN(C3),-1),1))</f>
        <v>Introduction</v>
      </c>
      <c r="E3" t="str">
        <f t="shared" ref="E3:E66" si="1">IF(ISERROR(VALUE(LEFT(D3,1))),"","Yes")</f>
        <v/>
      </c>
      <c r="F3" t="str">
        <f t="shared" ref="F3:F66" si="2">IF(E3="",D3,MID(D3,FIND(". ",D3)+2,99))</f>
        <v>Introduction</v>
      </c>
      <c r="G3" t="str">
        <f t="shared" ref="G3:G66" si="3">IF(LEFT(F3,4)&lt;&gt;"Week","",VALUE(MID(F3,6,FIND(":",F3)-6)))</f>
        <v/>
      </c>
      <c r="H3" t="str">
        <f t="shared" ref="H3:H18" si="4">IF(G3="","",IF(G3=1,DATEVALUE("20 January 2025"),"xxx"))</f>
        <v/>
      </c>
      <c r="I3" t="str">
        <f t="shared" ref="I3:I18" si="5">IF(G3="","",IF(G3=1,DATEVALUE("24 January 2025"),"xxx"))</f>
        <v/>
      </c>
      <c r="J3" t="str">
        <f t="shared" ref="J3:J66" si="6">IF(H3="","",DAY(H3))</f>
        <v/>
      </c>
      <c r="K3" t="str">
        <f t="shared" ref="K3:K66" si="7">IF(H3="","",MONTH(H3))</f>
        <v/>
      </c>
      <c r="L3" t="str">
        <f t="shared" ref="L3:L66" si="8">IF(H3="","",YEAR(H3))</f>
        <v/>
      </c>
      <c r="M3" t="str">
        <f t="shared" ref="M3:M66" si="9">IF(I3="","",DAY(I3))</f>
        <v/>
      </c>
      <c r="N3" t="str">
        <f t="shared" ref="N3:N66" si="10">IF(I3="","",MONTH(I3))</f>
        <v/>
      </c>
      <c r="O3" t="str">
        <f t="shared" ref="O3:O66" si="11">IF(I3="","",YEAR(I3))</f>
        <v/>
      </c>
      <c r="Q3" t="str">
        <f t="shared" ref="Q3:Q66" si="12">IF(P3="",F3,"Week "&amp;G3&amp;" "&amp;P3&amp;" "&amp;F3)</f>
        <v>Introduction</v>
      </c>
    </row>
    <row r="4" spans="1:17" x14ac:dyDescent="0.2">
      <c r="A4" t="s">
        <v>3</v>
      </c>
      <c r="B4" t="str" cm="1">
        <f t="array" ref="B4">_xlfn.TEXTJOIN("",,MID(A4,_xlfn.SEQUENCE(LEN(A4),,LEN(A4),-1),1))</f>
        <v>1 noitacifireV dna sisaB ecruoS</v>
      </c>
      <c r="C4" t="str">
        <f t="shared" si="0"/>
        <v>noitacifireV dna sisaB ecruoS</v>
      </c>
      <c r="D4" t="str" cm="1">
        <f t="array" ref="D4">_xlfn.TEXTJOIN("",,MID(C4,_xlfn.SEQUENCE(LEN(C4),,LEN(C4),-1),1))</f>
        <v>Source Basis and Verification</v>
      </c>
      <c r="E4" t="str">
        <f t="shared" si="1"/>
        <v/>
      </c>
      <c r="F4" t="str">
        <f t="shared" si="2"/>
        <v>Source Basis and Verification</v>
      </c>
      <c r="G4" t="str">
        <f t="shared" si="3"/>
        <v/>
      </c>
      <c r="H4" t="str">
        <f t="shared" si="4"/>
        <v/>
      </c>
      <c r="I4" t="str">
        <f t="shared" si="5"/>
        <v/>
      </c>
      <c r="J4" t="str">
        <f t="shared" si="6"/>
        <v/>
      </c>
      <c r="K4" t="str">
        <f t="shared" si="7"/>
        <v/>
      </c>
      <c r="L4" t="str">
        <f t="shared" si="8"/>
        <v/>
      </c>
      <c r="M4" t="str">
        <f t="shared" si="9"/>
        <v/>
      </c>
      <c r="N4" t="str">
        <f t="shared" si="10"/>
        <v/>
      </c>
      <c r="O4" t="str">
        <f t="shared" si="11"/>
        <v/>
      </c>
      <c r="Q4" t="str">
        <f t="shared" si="12"/>
        <v>Source Basis and Verification</v>
      </c>
    </row>
    <row r="5" spans="1:17" x14ac:dyDescent="0.2">
      <c r="A5" t="s">
        <v>4</v>
      </c>
      <c r="B5" t="str" cm="1">
        <f t="array" ref="B5">_xlfn.TEXTJOIN("",,MID(A5,_xlfn.SEQUENCE(LEN(A5),,LEN(A5),-1),1))</f>
        <v>3 I traP</v>
      </c>
      <c r="C5" t="str">
        <f t="shared" si="0"/>
        <v>I traP</v>
      </c>
      <c r="D5" t="str" cm="1">
        <f t="array" ref="D5">_xlfn.TEXTJOIN("",,MID(C5,_xlfn.SEQUENCE(LEN(C5),,LEN(C5),-1),1))</f>
        <v>Part I</v>
      </c>
      <c r="E5" t="str">
        <f t="shared" si="1"/>
        <v/>
      </c>
      <c r="F5" t="str">
        <f t="shared" si="2"/>
        <v>Part I</v>
      </c>
      <c r="G5" t="str">
        <f t="shared" si="3"/>
        <v/>
      </c>
      <c r="H5" t="str">
        <f t="shared" si="4"/>
        <v/>
      </c>
      <c r="I5" t="str">
        <f t="shared" si="5"/>
        <v/>
      </c>
      <c r="J5" t="str">
        <f t="shared" si="6"/>
        <v/>
      </c>
      <c r="K5" t="str">
        <f t="shared" si="7"/>
        <v/>
      </c>
      <c r="L5" t="str">
        <f t="shared" si="8"/>
        <v/>
      </c>
      <c r="M5" t="str">
        <f t="shared" si="9"/>
        <v/>
      </c>
      <c r="N5" t="str">
        <f t="shared" si="10"/>
        <v/>
      </c>
      <c r="O5" t="str">
        <f t="shared" si="11"/>
        <v/>
      </c>
      <c r="Q5" t="str">
        <f t="shared" si="12"/>
        <v>Part I</v>
      </c>
    </row>
    <row r="6" spans="1:17" x14ac:dyDescent="0.2">
      <c r="A6" t="s">
        <v>5</v>
      </c>
      <c r="B6" t="str" cm="1">
        <f t="array" ref="B6">_xlfn.TEXTJOIN("",,MID(A6,_xlfn.SEQUENCE(LEN(A6),,LEN(A6),-1),1))</f>
        <v>5 ycarcomeD gnirusaeM fo melborP ehT .1</v>
      </c>
      <c r="C6" t="str">
        <f t="shared" si="0"/>
        <v>ycarcomeD gnirusaeM fo melborP ehT .1</v>
      </c>
      <c r="D6" t="str" cm="1">
        <f t="array" ref="D6">_xlfn.TEXTJOIN("",,MID(C6,_xlfn.SEQUENCE(LEN(C6),,LEN(C6),-1),1))</f>
        <v>1. The Problem of Measuring Democracy</v>
      </c>
      <c r="E6" t="str">
        <f t="shared" si="1"/>
        <v>Yes</v>
      </c>
      <c r="F6" t="str">
        <f t="shared" si="2"/>
        <v>The Problem of Measuring Democracy</v>
      </c>
      <c r="G6" t="str">
        <f t="shared" si="3"/>
        <v/>
      </c>
      <c r="H6" t="str">
        <f t="shared" si="4"/>
        <v/>
      </c>
      <c r="I6" t="str">
        <f t="shared" si="5"/>
        <v/>
      </c>
      <c r="J6" t="str">
        <f t="shared" si="6"/>
        <v/>
      </c>
      <c r="K6" t="str">
        <f t="shared" si="7"/>
        <v/>
      </c>
      <c r="L6" t="str">
        <f t="shared" si="8"/>
        <v/>
      </c>
      <c r="M6" t="str">
        <f t="shared" si="9"/>
        <v/>
      </c>
      <c r="N6" t="str">
        <f t="shared" si="10"/>
        <v/>
      </c>
      <c r="O6" t="str">
        <f t="shared" si="11"/>
        <v/>
      </c>
      <c r="Q6" t="str">
        <f t="shared" si="12"/>
        <v>The Problem of Measuring Democracy</v>
      </c>
    </row>
    <row r="7" spans="1:17" x14ac:dyDescent="0.2">
      <c r="A7" t="s">
        <v>6</v>
      </c>
      <c r="B7" t="str" cm="1">
        <f t="array" ref="B7">_xlfn.TEXTJOIN("",,MID(A7,_xlfn.SEQUENCE(LEN(A7),,LEN(A7),-1),1))</f>
        <v>9 ycarcomeD yhW dna — tnemnrevoG yhW .2</v>
      </c>
      <c r="C7" t="str">
        <f t="shared" si="0"/>
        <v>ycarcomeD yhW dna — tnemnrevoG yhW .2</v>
      </c>
      <c r="D7" t="str" cm="1">
        <f t="array" ref="D7">_xlfn.TEXTJOIN("",,MID(C7,_xlfn.SEQUENCE(LEN(C7),,LEN(C7),-1),1))</f>
        <v>2. Why Government — and Why Democracy</v>
      </c>
      <c r="E7" t="str">
        <f t="shared" si="1"/>
        <v>Yes</v>
      </c>
      <c r="F7" t="str">
        <f t="shared" si="2"/>
        <v>Why Government — and Why Democracy</v>
      </c>
      <c r="G7" t="str">
        <f t="shared" si="3"/>
        <v/>
      </c>
      <c r="H7" t="str">
        <f t="shared" si="4"/>
        <v/>
      </c>
      <c r="I7" t="str">
        <f t="shared" si="5"/>
        <v/>
      </c>
      <c r="J7" t="str">
        <f t="shared" si="6"/>
        <v/>
      </c>
      <c r="K7" t="str">
        <f t="shared" si="7"/>
        <v/>
      </c>
      <c r="L7" t="str">
        <f t="shared" si="8"/>
        <v/>
      </c>
      <c r="M7" t="str">
        <f t="shared" si="9"/>
        <v/>
      </c>
      <c r="N7" t="str">
        <f t="shared" si="10"/>
        <v/>
      </c>
      <c r="O7" t="str">
        <f t="shared" si="11"/>
        <v/>
      </c>
      <c r="Q7" t="str">
        <f t="shared" si="12"/>
        <v>Why Government — and Why Democracy</v>
      </c>
    </row>
    <row r="8" spans="1:17" x14ac:dyDescent="0.2">
      <c r="A8" t="s">
        <v>7</v>
      </c>
      <c r="B8" t="str" cm="1">
        <f t="array" ref="B8">_xlfn.TEXTJOIN("",,MID(A8,_xlfn.SEQUENCE(LEN(A8),,LEN(A8),-1),1))</f>
        <v>51 ngiseD lanoitutitsnoC sa sesimorP .3</v>
      </c>
      <c r="C8" t="str">
        <f t="shared" si="0"/>
        <v>ngiseD lanoitutitsnoC sa sesimorP .3</v>
      </c>
      <c r="D8" t="str" cm="1">
        <f t="array" ref="D8">_xlfn.TEXTJOIN("",,MID(C8,_xlfn.SEQUENCE(LEN(C8),,LEN(C8),-1),1))</f>
        <v>3. Promises as Constitutional Design</v>
      </c>
      <c r="E8" t="str">
        <f t="shared" si="1"/>
        <v>Yes</v>
      </c>
      <c r="F8" t="str">
        <f t="shared" si="2"/>
        <v>Promises as Constitutional Design</v>
      </c>
      <c r="G8" t="str">
        <f t="shared" si="3"/>
        <v/>
      </c>
      <c r="H8" t="str">
        <f t="shared" si="4"/>
        <v/>
      </c>
      <c r="I8" t="str">
        <f t="shared" si="5"/>
        <v/>
      </c>
      <c r="J8" t="str">
        <f t="shared" si="6"/>
        <v/>
      </c>
      <c r="K8" t="str">
        <f t="shared" si="7"/>
        <v/>
      </c>
      <c r="L8" t="str">
        <f t="shared" si="8"/>
        <v/>
      </c>
      <c r="M8" t="str">
        <f t="shared" si="9"/>
        <v/>
      </c>
      <c r="N8" t="str">
        <f t="shared" si="10"/>
        <v/>
      </c>
      <c r="O8" t="str">
        <f t="shared" si="11"/>
        <v/>
      </c>
      <c r="Q8" t="str">
        <f t="shared" si="12"/>
        <v>Promises as Constitutional Design</v>
      </c>
    </row>
    <row r="9" spans="1:17" x14ac:dyDescent="0.2">
      <c r="A9" t="s">
        <v>8</v>
      </c>
      <c r="B9" t="str" cm="1">
        <f t="array" ref="B9">_xlfn.TEXTJOIN("",,MID(A9,_xlfn.SEQUENCE(LEN(A9),,LEN(A9),-1),1))</f>
        <v>12 sevitarepmI citarcomeD xiS ehT .4</v>
      </c>
      <c r="C9" t="str">
        <f t="shared" si="0"/>
        <v>sevitarepmI citarcomeD xiS ehT .4</v>
      </c>
      <c r="D9" t="str" cm="1">
        <f t="array" ref="D9">_xlfn.TEXTJOIN("",,MID(C9,_xlfn.SEQUENCE(LEN(C9),,LEN(C9),-1),1))</f>
        <v>4. The Six Democratic Imperatives</v>
      </c>
      <c r="E9" t="str">
        <f t="shared" si="1"/>
        <v>Yes</v>
      </c>
      <c r="F9" t="str">
        <f t="shared" si="2"/>
        <v>The Six Democratic Imperatives</v>
      </c>
      <c r="G9" t="str">
        <f t="shared" si="3"/>
        <v/>
      </c>
      <c r="H9" t="str">
        <f t="shared" si="4"/>
        <v/>
      </c>
      <c r="I9" t="str">
        <f t="shared" si="5"/>
        <v/>
      </c>
      <c r="J9" t="str">
        <f t="shared" si="6"/>
        <v/>
      </c>
      <c r="K9" t="str">
        <f t="shared" si="7"/>
        <v/>
      </c>
      <c r="L9" t="str">
        <f t="shared" si="8"/>
        <v/>
      </c>
      <c r="M9" t="str">
        <f t="shared" si="9"/>
        <v/>
      </c>
      <c r="N9" t="str">
        <f t="shared" si="10"/>
        <v/>
      </c>
      <c r="O9" t="str">
        <f t="shared" si="11"/>
        <v/>
      </c>
      <c r="Q9" t="str">
        <f t="shared" si="12"/>
        <v>The Six Democratic Imperatives</v>
      </c>
    </row>
    <row r="10" spans="1:17" x14ac:dyDescent="0.2">
      <c r="A10" t="s">
        <v>9</v>
      </c>
      <c r="B10" t="str" cm="1">
        <f t="array" ref="B10">_xlfn.TEXTJOIN("",,MID(A10,_xlfn.SEQUENCE(LEN(A10),,LEN(A10),-1),1))</f>
        <v>52 selbarevileD civiC xiS ehT .5</v>
      </c>
      <c r="C10" t="str">
        <f t="shared" si="0"/>
        <v>selbarevileD civiC xiS ehT .5</v>
      </c>
      <c r="D10" t="str" cm="1">
        <f t="array" ref="D10">_xlfn.TEXTJOIN("",,MID(C10,_xlfn.SEQUENCE(LEN(C10),,LEN(C10),-1),1))</f>
        <v>5. The Six Civic Deliverables</v>
      </c>
      <c r="E10" t="str">
        <f t="shared" si="1"/>
        <v>Yes</v>
      </c>
      <c r="F10" t="str">
        <f t="shared" si="2"/>
        <v>The Six Civic Deliverables</v>
      </c>
      <c r="G10" t="str">
        <f t="shared" si="3"/>
        <v/>
      </c>
      <c r="H10" t="str">
        <f t="shared" si="4"/>
        <v/>
      </c>
      <c r="I10" t="str">
        <f t="shared" si="5"/>
        <v/>
      </c>
      <c r="J10" t="str">
        <f t="shared" si="6"/>
        <v/>
      </c>
      <c r="K10" t="str">
        <f t="shared" si="7"/>
        <v/>
      </c>
      <c r="L10" t="str">
        <f t="shared" si="8"/>
        <v/>
      </c>
      <c r="M10" t="str">
        <f t="shared" si="9"/>
        <v/>
      </c>
      <c r="N10" t="str">
        <f t="shared" si="10"/>
        <v/>
      </c>
      <c r="O10" t="str">
        <f t="shared" si="11"/>
        <v/>
      </c>
      <c r="Q10" t="str">
        <f t="shared" si="12"/>
        <v>The Six Civic Deliverables</v>
      </c>
    </row>
    <row r="11" spans="1:17" x14ac:dyDescent="0.2">
      <c r="A11" t="s">
        <v>10</v>
      </c>
      <c r="B11" t="str" cm="1">
        <f t="array" ref="B11">_xlfn.TEXTJOIN("",,MID(A11,_xlfn.SEQUENCE(LEN(A11),,LEN(A11),-1),1))</f>
        <v>13 roolF laroM ehT .6</v>
      </c>
      <c r="C11" t="str">
        <f t="shared" si="0"/>
        <v>roolF laroM ehT .6</v>
      </c>
      <c r="D11" t="str" cm="1">
        <f t="array" ref="D11">_xlfn.TEXTJOIN("",,MID(C11,_xlfn.SEQUENCE(LEN(C11),,LEN(C11),-1),1))</f>
        <v>6. The Moral Floor</v>
      </c>
      <c r="E11" t="str">
        <f t="shared" si="1"/>
        <v>Yes</v>
      </c>
      <c r="F11" t="str">
        <f t="shared" si="2"/>
        <v>The Moral Floor</v>
      </c>
      <c r="G11" t="str">
        <f t="shared" si="3"/>
        <v/>
      </c>
      <c r="H11" t="str">
        <f t="shared" si="4"/>
        <v/>
      </c>
      <c r="I11" t="str">
        <f t="shared" si="5"/>
        <v/>
      </c>
      <c r="J11" t="str">
        <f t="shared" si="6"/>
        <v/>
      </c>
      <c r="K11" t="str">
        <f t="shared" si="7"/>
        <v/>
      </c>
      <c r="L11" t="str">
        <f t="shared" si="8"/>
        <v/>
      </c>
      <c r="M11" t="str">
        <f t="shared" si="9"/>
        <v/>
      </c>
      <c r="N11" t="str">
        <f t="shared" si="10"/>
        <v/>
      </c>
      <c r="O11" t="str">
        <f t="shared" si="11"/>
        <v/>
      </c>
      <c r="Q11" t="str">
        <f t="shared" si="12"/>
        <v>The Moral Floor</v>
      </c>
    </row>
    <row r="12" spans="1:17" x14ac:dyDescent="0.2">
      <c r="A12" t="s">
        <v>11</v>
      </c>
      <c r="B12" t="str" cm="1">
        <f t="array" ref="B12">_xlfn.TEXTJOIN("",,MID(A12,_xlfn.SEQUENCE(LEN(A12),,LEN(A12),-1),1))</f>
        <v>73 cilbupeR gniliaF a fo scitsongaiD .7</v>
      </c>
      <c r="C12" t="str">
        <f t="shared" si="0"/>
        <v>cilbupeR gniliaF a fo scitsongaiD .7</v>
      </c>
      <c r="D12" t="str" cm="1">
        <f t="array" ref="D12">_xlfn.TEXTJOIN("",,MID(C12,_xlfn.SEQUENCE(LEN(C12),,LEN(C12),-1),1))</f>
        <v>7. Diagnostics of a Failing Republic</v>
      </c>
      <c r="E12" t="str">
        <f t="shared" si="1"/>
        <v>Yes</v>
      </c>
      <c r="F12" t="str">
        <f t="shared" si="2"/>
        <v>Diagnostics of a Failing Republic</v>
      </c>
      <c r="G12" t="str">
        <f t="shared" si="3"/>
        <v/>
      </c>
      <c r="H12" t="str">
        <f t="shared" si="4"/>
        <v/>
      </c>
      <c r="I12" t="str">
        <f t="shared" si="5"/>
        <v/>
      </c>
      <c r="J12" t="str">
        <f t="shared" si="6"/>
        <v/>
      </c>
      <c r="K12" t="str">
        <f t="shared" si="7"/>
        <v/>
      </c>
      <c r="L12" t="str">
        <f t="shared" si="8"/>
        <v/>
      </c>
      <c r="M12" t="str">
        <f t="shared" si="9"/>
        <v/>
      </c>
      <c r="N12" t="str">
        <f t="shared" si="10"/>
        <v/>
      </c>
      <c r="O12" t="str">
        <f t="shared" si="11"/>
        <v/>
      </c>
      <c r="Q12" t="str">
        <f t="shared" si="12"/>
        <v>Diagnostics of a Failing Republic</v>
      </c>
    </row>
    <row r="13" spans="1:17" x14ac:dyDescent="0.2">
      <c r="A13" t="s">
        <v>12</v>
      </c>
      <c r="B13" t="str" cm="1">
        <f t="array" ref="B13">_xlfn.TEXTJOIN("",,MID(A13,_xlfn.SEQUENCE(LEN(A13),,LEN(A13),-1),1))</f>
        <v>94 ecnedivE citarcomeD sa emiT .8</v>
      </c>
      <c r="C13" t="str">
        <f t="shared" si="0"/>
        <v>ecnedivE citarcomeD sa emiT .8</v>
      </c>
      <c r="D13" t="str" cm="1">
        <f t="array" ref="D13">_xlfn.TEXTJOIN("",,MID(C13,_xlfn.SEQUENCE(LEN(C13),,LEN(C13),-1),1))</f>
        <v>8. Time as Democratic Evidence</v>
      </c>
      <c r="E13" t="str">
        <f t="shared" si="1"/>
        <v>Yes</v>
      </c>
      <c r="F13" t="str">
        <f t="shared" si="2"/>
        <v>Time as Democratic Evidence</v>
      </c>
      <c r="G13" t="str">
        <f t="shared" si="3"/>
        <v/>
      </c>
      <c r="H13" t="str">
        <f t="shared" si="4"/>
        <v/>
      </c>
      <c r="I13" t="str">
        <f t="shared" si="5"/>
        <v/>
      </c>
      <c r="J13" t="str">
        <f t="shared" si="6"/>
        <v/>
      </c>
      <c r="K13" t="str">
        <f t="shared" si="7"/>
        <v/>
      </c>
      <c r="L13" t="str">
        <f t="shared" si="8"/>
        <v/>
      </c>
      <c r="M13" t="str">
        <f t="shared" si="9"/>
        <v/>
      </c>
      <c r="N13" t="str">
        <f t="shared" si="10"/>
        <v/>
      </c>
      <c r="O13" t="str">
        <f t="shared" si="11"/>
        <v/>
      </c>
      <c r="Q13" t="str">
        <f t="shared" si="12"/>
        <v>Time as Democratic Evidence</v>
      </c>
    </row>
    <row r="14" spans="1:17" x14ac:dyDescent="0.2">
      <c r="A14" t="s">
        <v>13</v>
      </c>
      <c r="B14" t="str" cm="1">
        <f t="array" ref="B14">_xlfn.TEXTJOIN("",,MID(A14,_xlfn.SEQUENCE(LEN(A14),,LEN(A14),-1),1))</f>
        <v>55 tnemerusaeM ot ecnatirehnI morF :edulretnI .9</v>
      </c>
      <c r="C14" t="str">
        <f t="shared" si="0"/>
        <v>tnemerusaeM ot ecnatirehnI morF :edulretnI .9</v>
      </c>
      <c r="D14" t="str" cm="1">
        <f t="array" ref="D14">_xlfn.TEXTJOIN("",,MID(C14,_xlfn.SEQUENCE(LEN(C14),,LEN(C14),-1),1))</f>
        <v>9. Interlude: From Inheritance to Measurement</v>
      </c>
      <c r="E14" t="str">
        <f t="shared" si="1"/>
        <v>Yes</v>
      </c>
      <c r="F14" t="str">
        <f t="shared" si="2"/>
        <v>Interlude: From Inheritance to Measurement</v>
      </c>
      <c r="G14" t="str">
        <f t="shared" si="3"/>
        <v/>
      </c>
      <c r="H14" t="str">
        <f t="shared" si="4"/>
        <v/>
      </c>
      <c r="I14" t="str">
        <f t="shared" si="5"/>
        <v/>
      </c>
      <c r="J14" t="str">
        <f t="shared" si="6"/>
        <v/>
      </c>
      <c r="K14" t="str">
        <f t="shared" si="7"/>
        <v/>
      </c>
      <c r="L14" t="str">
        <f t="shared" si="8"/>
        <v/>
      </c>
      <c r="M14" t="str">
        <f t="shared" si="9"/>
        <v/>
      </c>
      <c r="N14" t="str">
        <f t="shared" si="10"/>
        <v/>
      </c>
      <c r="O14" t="str">
        <f t="shared" si="11"/>
        <v/>
      </c>
      <c r="Q14" t="str">
        <f t="shared" si="12"/>
        <v>Interlude: From Inheritance to Measurement</v>
      </c>
    </row>
    <row r="15" spans="1:17" x14ac:dyDescent="0.2">
      <c r="A15" t="s">
        <v>14</v>
      </c>
      <c r="B15" t="str" cm="1">
        <f t="array" ref="B15">_xlfn.TEXTJOIN("",,MID(A15,_xlfn.SEQUENCE(LEN(A15),,LEN(A15),-1),1))</f>
        <v>95 II traP</v>
      </c>
      <c r="C15" t="str">
        <f t="shared" si="0"/>
        <v>II traP</v>
      </c>
      <c r="D15" t="str" cm="1">
        <f t="array" ref="D15">_xlfn.TEXTJOIN("",,MID(C15,_xlfn.SEQUENCE(LEN(C15),,LEN(C15),-1),1))</f>
        <v>Part II</v>
      </c>
      <c r="E15" t="str">
        <f t="shared" si="1"/>
        <v/>
      </c>
      <c r="F15" t="str">
        <f t="shared" si="2"/>
        <v>Part II</v>
      </c>
      <c r="G15" t="str">
        <f t="shared" si="3"/>
        <v/>
      </c>
      <c r="H15" t="str">
        <f t="shared" si="4"/>
        <v/>
      </c>
      <c r="I15" t="str">
        <f t="shared" si="5"/>
        <v/>
      </c>
      <c r="J15" t="str">
        <f t="shared" si="6"/>
        <v/>
      </c>
      <c r="K15" t="str">
        <f t="shared" si="7"/>
        <v/>
      </c>
      <c r="L15" t="str">
        <f t="shared" si="8"/>
        <v/>
      </c>
      <c r="M15" t="str">
        <f t="shared" si="9"/>
        <v/>
      </c>
      <c r="N15" t="str">
        <f t="shared" si="10"/>
        <v/>
      </c>
      <c r="O15" t="str">
        <f t="shared" si="11"/>
        <v/>
      </c>
      <c r="Q15" t="str">
        <f t="shared" si="12"/>
        <v>Part II</v>
      </c>
    </row>
    <row r="16" spans="1:17" x14ac:dyDescent="0.2">
      <c r="A16" t="s">
        <v>15</v>
      </c>
      <c r="B16" t="str" cm="1">
        <f t="array" ref="B16">_xlfn.TEXTJOIN("",,MID(A16,_xlfn.SEQUENCE(LEN(A16),,LEN(A16),-1),1))</f>
        <v>16 dohteM no etoN A :emiT citarcomeD gnidaeR .01</v>
      </c>
      <c r="C16" t="str">
        <f t="shared" si="0"/>
        <v>dohteM no etoN A :emiT citarcomeD gnidaeR .01</v>
      </c>
      <c r="D16" t="str" cm="1">
        <f t="array" ref="D16">_xlfn.TEXTJOIN("",,MID(C16,_xlfn.SEQUENCE(LEN(C16),,LEN(C16),-1),1))</f>
        <v>10. Reading Democratic Time: A Note on Method</v>
      </c>
      <c r="E16" t="str">
        <f t="shared" si="1"/>
        <v>Yes</v>
      </c>
      <c r="F16" t="str">
        <f t="shared" si="2"/>
        <v>Reading Democratic Time: A Note on Method</v>
      </c>
      <c r="G16" t="str">
        <f t="shared" si="3"/>
        <v/>
      </c>
      <c r="H16" t="str">
        <f t="shared" si="4"/>
        <v/>
      </c>
      <c r="I16" t="str">
        <f t="shared" si="5"/>
        <v/>
      </c>
      <c r="J16" t="str">
        <f t="shared" si="6"/>
        <v/>
      </c>
      <c r="K16" t="str">
        <f t="shared" si="7"/>
        <v/>
      </c>
      <c r="L16" t="str">
        <f t="shared" si="8"/>
        <v/>
      </c>
      <c r="M16" t="str">
        <f t="shared" si="9"/>
        <v/>
      </c>
      <c r="N16" t="str">
        <f t="shared" si="10"/>
        <v/>
      </c>
      <c r="O16" t="str">
        <f t="shared" si="11"/>
        <v/>
      </c>
      <c r="Q16" t="str">
        <f t="shared" si="12"/>
        <v>Reading Democratic Time: A Note on Method</v>
      </c>
    </row>
    <row r="17" spans="1:17" x14ac:dyDescent="0.2">
      <c r="A17" t="s">
        <v>20</v>
      </c>
      <c r="B17" t="str" cm="1">
        <f t="array" ref="B17">_xlfn.TEXTJOIN("",,MID(A17,_xlfn.SEQUENCE(LEN(A17),,LEN(A17),-1),1))</f>
        <v>56 metsyS gnitarepO sa seicnegremE :1 keeW .11</v>
      </c>
      <c r="C17" t="str">
        <f t="shared" si="0"/>
        <v>metsyS gnitarepO sa seicnegremE :1 keeW .11</v>
      </c>
      <c r="D17" t="str" cm="1">
        <f t="array" ref="D17">_xlfn.TEXTJOIN("",,MID(C17,_xlfn.SEQUENCE(LEN(C17),,LEN(C17),-1),1))</f>
        <v>11. Week 1: Emergencies as Operating System</v>
      </c>
      <c r="E17" t="str">
        <f t="shared" si="1"/>
        <v>Yes</v>
      </c>
      <c r="F17" t="str">
        <f t="shared" si="2"/>
        <v>Week 1: Emergencies as Operating System</v>
      </c>
      <c r="G17">
        <f t="shared" si="3"/>
        <v>1</v>
      </c>
      <c r="H17">
        <f t="shared" si="4"/>
        <v>45677</v>
      </c>
      <c r="I17">
        <f t="shared" si="5"/>
        <v>45681</v>
      </c>
      <c r="J17">
        <f t="shared" si="6"/>
        <v>20</v>
      </c>
      <c r="K17">
        <f t="shared" si="7"/>
        <v>1</v>
      </c>
      <c r="L17">
        <f t="shared" si="8"/>
        <v>2025</v>
      </c>
      <c r="M17">
        <f t="shared" si="9"/>
        <v>24</v>
      </c>
      <c r="N17">
        <f t="shared" si="10"/>
        <v>1</v>
      </c>
      <c r="O17">
        <f t="shared" si="11"/>
        <v>2025</v>
      </c>
      <c r="P17" t="str">
        <f>IF(K17=N17,"("&amp;J17&amp;"–"&amp;M17&amp;" "&amp;CHOOSE(K17,"January","February","March","April","May","June","July","August","September","October","November","December")&amp;" "&amp;L17&amp;")","("&amp;J17&amp;" "&amp;CHOOSE(K17,"January","February","March","April","May","June","July","August","September","October","November","December")&amp;"–"&amp;M17&amp;" "&amp;CHOOSE(N17,"January","February","March","April","May","June","July","August","September","October","November","December")&amp;" "&amp;O17&amp;")")</f>
        <v>(20–24 January 2025)</v>
      </c>
      <c r="Q17" t="str">
        <f>IF(P17="",F17,"Week "&amp;G17&amp;" "&amp;P17&amp;": "&amp;MID(F17,FIND(":",F17)+2,99))</f>
        <v>Week 1 (20–24 January 2025): Emergencies as Operating System</v>
      </c>
    </row>
    <row r="18" spans="1:17" x14ac:dyDescent="0.2">
      <c r="A18" t="s">
        <v>21</v>
      </c>
      <c r="B18" t="str" cm="1">
        <f t="array" ref="B18">_xlfn.TEXTJOIN("",,MID(A18,_xlfn.SEQUENCE(LEN(A18),,LEN(A18),-1),1))</f>
        <v>77 snopaeW sa yromeM dna waL :2 keeW .21</v>
      </c>
      <c r="C18" t="str">
        <f t="shared" si="0"/>
        <v>snopaeW sa yromeM dna waL :2 keeW .21</v>
      </c>
      <c r="D18" t="str" cm="1">
        <f t="array" ref="D18">_xlfn.TEXTJOIN("",,MID(C18,_xlfn.SEQUENCE(LEN(C18),,LEN(C18),-1),1))</f>
        <v>12. Week 2: Law and Memory as Weapons</v>
      </c>
      <c r="E18" t="str">
        <f t="shared" si="1"/>
        <v>Yes</v>
      </c>
      <c r="F18" t="str">
        <f t="shared" si="2"/>
        <v>Week 2: Law and Memory as Weapons</v>
      </c>
      <c r="G18">
        <f t="shared" si="3"/>
        <v>2</v>
      </c>
      <c r="H18">
        <f>IF(G18="","",IF(G18=1,DATEVALUE("20 January 2025"),I17+1))</f>
        <v>45682</v>
      </c>
      <c r="I18">
        <f>IF(G18="","",IF(G18=1,DATEVALUE("24 January 2025"),H18+6))</f>
        <v>45688</v>
      </c>
      <c r="J18">
        <f t="shared" si="6"/>
        <v>25</v>
      </c>
      <c r="K18">
        <f t="shared" si="7"/>
        <v>1</v>
      </c>
      <c r="L18">
        <f t="shared" si="8"/>
        <v>2025</v>
      </c>
      <c r="M18">
        <f t="shared" si="9"/>
        <v>31</v>
      </c>
      <c r="N18">
        <f t="shared" si="10"/>
        <v>1</v>
      </c>
      <c r="O18">
        <f t="shared" si="11"/>
        <v>2025</v>
      </c>
      <c r="P18" t="str">
        <f t="shared" ref="P18:P68" si="13">IF(K18=N18,"("&amp;J18&amp;"–"&amp;M18&amp;" "&amp;CHOOSE(K18,"January","February","March","April","May","June","July","August","September","October","November","December")&amp;" "&amp;L18&amp;")","("&amp;J18&amp;" "&amp;CHOOSE(K18,"January","February","March","April","May","June","July","August","September","October","November","December")&amp;"–"&amp;M18&amp;" "&amp;CHOOSE(N18,"January","February","March","April","May","June","July","August","September","October","November","December")&amp;" "&amp;O18&amp;")")</f>
        <v>(25–31 January 2025)</v>
      </c>
      <c r="Q18" t="str">
        <f t="shared" ref="Q18:Q71" si="14">IF(P18="",F18,"Week "&amp;G18&amp;" "&amp;P18&amp;": "&amp;MID(F18,FIND(":",F18)+2,99))</f>
        <v>Week 2 (25–31 January 2025): Law and Memory as Weapons</v>
      </c>
    </row>
    <row r="19" spans="1:17" x14ac:dyDescent="0.2">
      <c r="A19" t="s">
        <v>22</v>
      </c>
      <c r="B19" t="str" cm="1">
        <f t="array" ref="B19">_xlfn.TEXTJOIN("",,MID(A19,_xlfn.SEQUENCE(LEN(A19),,LEN(A19),-1),1))</f>
        <v>98 sliopS sa smetsyS :3 keeW .31</v>
      </c>
      <c r="C19" t="str">
        <f t="shared" si="0"/>
        <v>sliopS sa smetsyS :3 keeW .31</v>
      </c>
      <c r="D19" t="str" cm="1">
        <f t="array" ref="D19">_xlfn.TEXTJOIN("",,MID(C19,_xlfn.SEQUENCE(LEN(C19),,LEN(C19),-1),1))</f>
        <v>13. Week 3: Systems as Spoils</v>
      </c>
      <c r="E19" t="str">
        <f t="shared" si="1"/>
        <v>Yes</v>
      </c>
      <c r="F19" t="str">
        <f t="shared" si="2"/>
        <v>Week 3: Systems as Spoils</v>
      </c>
      <c r="G19">
        <f t="shared" si="3"/>
        <v>3</v>
      </c>
      <c r="H19">
        <f t="shared" ref="H19:H71" si="15">IF(G19="","",IF(G19=1,DATEVALUE("20 January 2025"),I18+1))</f>
        <v>45689</v>
      </c>
      <c r="I19">
        <f t="shared" ref="I19:I71" si="16">IF(G19="","",IF(G19=1,DATEVALUE("24 January 2025"),H19+6))</f>
        <v>45695</v>
      </c>
      <c r="J19">
        <f t="shared" si="6"/>
        <v>1</v>
      </c>
      <c r="K19">
        <f t="shared" si="7"/>
        <v>2</v>
      </c>
      <c r="L19">
        <f t="shared" si="8"/>
        <v>2025</v>
      </c>
      <c r="M19">
        <f t="shared" si="9"/>
        <v>7</v>
      </c>
      <c r="N19">
        <f t="shared" si="10"/>
        <v>2</v>
      </c>
      <c r="O19">
        <f t="shared" si="11"/>
        <v>2025</v>
      </c>
      <c r="P19" t="str">
        <f t="shared" si="13"/>
        <v>(1–7 February 2025)</v>
      </c>
      <c r="Q19" t="str">
        <f t="shared" si="14"/>
        <v>Week 3 (1–7 February 2025): Systems as Spoils</v>
      </c>
    </row>
    <row r="20" spans="1:17" x14ac:dyDescent="0.2">
      <c r="A20" t="s">
        <v>23</v>
      </c>
      <c r="B20" t="str" cm="1">
        <f t="array" ref="B20">_xlfn.TEXTJOIN("",,MID(A20,_xlfn.SEQUENCE(LEN(A20),,LEN(A20),-1),1))</f>
        <v>101 tfarcetatS lellaraP sa EGOD :4 keeW .41</v>
      </c>
      <c r="C20" t="str">
        <f t="shared" si="0"/>
        <v>tfarcetatS lellaraP sa EGOD :4 keeW .41</v>
      </c>
      <c r="D20" t="str" cm="1">
        <f t="array" ref="D20">_xlfn.TEXTJOIN("",,MID(C20,_xlfn.SEQUENCE(LEN(C20),,LEN(C20),-1),1))</f>
        <v>14. Week 4: DOGE as Parallel Statecraft</v>
      </c>
      <c r="E20" t="str">
        <f t="shared" si="1"/>
        <v>Yes</v>
      </c>
      <c r="F20" t="str">
        <f t="shared" si="2"/>
        <v>Week 4: DOGE as Parallel Statecraft</v>
      </c>
      <c r="G20">
        <f t="shared" si="3"/>
        <v>4</v>
      </c>
      <c r="H20">
        <f t="shared" si="15"/>
        <v>45696</v>
      </c>
      <c r="I20">
        <f t="shared" si="16"/>
        <v>45702</v>
      </c>
      <c r="J20">
        <f t="shared" si="6"/>
        <v>8</v>
      </c>
      <c r="K20">
        <f t="shared" si="7"/>
        <v>2</v>
      </c>
      <c r="L20">
        <f t="shared" si="8"/>
        <v>2025</v>
      </c>
      <c r="M20">
        <f t="shared" si="9"/>
        <v>14</v>
      </c>
      <c r="N20">
        <f t="shared" si="10"/>
        <v>2</v>
      </c>
      <c r="O20">
        <f t="shared" si="11"/>
        <v>2025</v>
      </c>
      <c r="P20" t="str">
        <f t="shared" si="13"/>
        <v>(8–14 February 2025)</v>
      </c>
      <c r="Q20" t="str">
        <f t="shared" si="14"/>
        <v>Week 4 (8–14 February 2025): DOGE as Parallel Statecraft</v>
      </c>
    </row>
    <row r="21" spans="1:17" x14ac:dyDescent="0.2">
      <c r="A21" t="s">
        <v>24</v>
      </c>
      <c r="B21" t="str" cm="1">
        <f t="array" ref="B21">_xlfn.TEXTJOIN("",,MID(A21,_xlfn.SEQUENCE(LEN(A21),,LEN(A21),-1),1))</f>
        <v>311 tnemurtsnI lanosreP sa etatS ehT :5 keeW .51</v>
      </c>
      <c r="C21" t="str">
        <f t="shared" si="0"/>
        <v>tnemurtsnI lanosreP sa etatS ehT :5 keeW .51</v>
      </c>
      <c r="D21" t="str" cm="1">
        <f t="array" ref="D21">_xlfn.TEXTJOIN("",,MID(C21,_xlfn.SEQUENCE(LEN(C21),,LEN(C21),-1),1))</f>
        <v>15. Week 5: The State as Personal Instrument</v>
      </c>
      <c r="E21" t="str">
        <f t="shared" si="1"/>
        <v>Yes</v>
      </c>
      <c r="F21" t="str">
        <f t="shared" si="2"/>
        <v>Week 5: The State as Personal Instrument</v>
      </c>
      <c r="G21">
        <f t="shared" si="3"/>
        <v>5</v>
      </c>
      <c r="H21">
        <f t="shared" si="15"/>
        <v>45703</v>
      </c>
      <c r="I21">
        <f t="shared" si="16"/>
        <v>45709</v>
      </c>
      <c r="J21">
        <f t="shared" si="6"/>
        <v>15</v>
      </c>
      <c r="K21">
        <f t="shared" si="7"/>
        <v>2</v>
      </c>
      <c r="L21">
        <f t="shared" si="8"/>
        <v>2025</v>
      </c>
      <c r="M21">
        <f t="shared" si="9"/>
        <v>21</v>
      </c>
      <c r="N21">
        <f t="shared" si="10"/>
        <v>2</v>
      </c>
      <c r="O21">
        <f t="shared" si="11"/>
        <v>2025</v>
      </c>
      <c r="P21" t="str">
        <f t="shared" si="13"/>
        <v>(15–21 February 2025)</v>
      </c>
      <c r="Q21" t="str">
        <f t="shared" si="14"/>
        <v>Week 5 (15–21 February 2025): The State as Personal Instrument</v>
      </c>
    </row>
    <row r="22" spans="1:17" x14ac:dyDescent="0.2">
      <c r="A22" t="s">
        <v>25</v>
      </c>
      <c r="B22" t="str" cm="1">
        <f t="array" ref="B22">_xlfn.TEXTJOIN("",,MID(A22,_xlfn.SEQUENCE(LEN(A22),,LEN(A22),-1),1))</f>
        <v>521 enignE eganortaP sa ycarcuaeruB :6 keeW .61</v>
      </c>
      <c r="C22" t="str">
        <f t="shared" si="0"/>
        <v>enignE eganortaP sa ycarcuaeruB :6 keeW .61</v>
      </c>
      <c r="D22" t="str" cm="1">
        <f t="array" ref="D22">_xlfn.TEXTJOIN("",,MID(C22,_xlfn.SEQUENCE(LEN(C22),,LEN(C22),-1),1))</f>
        <v>16. Week 6: Bureaucracy as Patronage Engine</v>
      </c>
      <c r="E22" t="str">
        <f t="shared" si="1"/>
        <v>Yes</v>
      </c>
      <c r="F22" t="str">
        <f t="shared" si="2"/>
        <v>Week 6: Bureaucracy as Patronage Engine</v>
      </c>
      <c r="G22">
        <f t="shared" si="3"/>
        <v>6</v>
      </c>
      <c r="H22">
        <f t="shared" si="15"/>
        <v>45710</v>
      </c>
      <c r="I22">
        <f t="shared" si="16"/>
        <v>45716</v>
      </c>
      <c r="J22">
        <f t="shared" si="6"/>
        <v>22</v>
      </c>
      <c r="K22">
        <f t="shared" si="7"/>
        <v>2</v>
      </c>
      <c r="L22">
        <f t="shared" si="8"/>
        <v>2025</v>
      </c>
      <c r="M22">
        <f t="shared" si="9"/>
        <v>28</v>
      </c>
      <c r="N22">
        <f t="shared" si="10"/>
        <v>2</v>
      </c>
      <c r="O22">
        <f t="shared" si="11"/>
        <v>2025</v>
      </c>
      <c r="P22" t="str">
        <f t="shared" si="13"/>
        <v>(22–28 February 2025)</v>
      </c>
      <c r="Q22" t="str">
        <f t="shared" si="14"/>
        <v>Week 6 (22–28 February 2025): Bureaucracy as Patronage Engine</v>
      </c>
    </row>
    <row r="23" spans="1:17" x14ac:dyDescent="0.2">
      <c r="A23" t="s">
        <v>76</v>
      </c>
      <c r="B23" t="str" cm="1">
        <f t="array" ref="B23">_xlfn.TEXTJOIN("",,MID(A23,_xlfn.SEQUENCE(LEN(A23),,LEN(A23),-1),1))</f>
        <v>731 noitpecxE toN ,tibaH sa slooT :7 keeW .71</v>
      </c>
      <c r="C23" t="str">
        <f t="shared" si="0"/>
        <v>noitpecxE toN ,tibaH sa slooT :7 keeW .71</v>
      </c>
      <c r="D23" t="str" cm="1">
        <f t="array" ref="D23">_xlfn.TEXTJOIN("",,MID(C23,_xlfn.SEQUENCE(LEN(C23),,LEN(C23),-1),1))</f>
        <v>17. Week 7: Tools as Habit, Not Exception</v>
      </c>
      <c r="E23" t="str">
        <f t="shared" si="1"/>
        <v>Yes</v>
      </c>
      <c r="F23" t="str">
        <f t="shared" si="2"/>
        <v>Week 7: Tools as Habit, Not Exception</v>
      </c>
      <c r="G23">
        <f t="shared" si="3"/>
        <v>7</v>
      </c>
      <c r="H23">
        <f t="shared" si="15"/>
        <v>45717</v>
      </c>
      <c r="I23">
        <f t="shared" si="16"/>
        <v>45723</v>
      </c>
      <c r="J23">
        <f t="shared" si="6"/>
        <v>1</v>
      </c>
      <c r="K23">
        <f t="shared" si="7"/>
        <v>3</v>
      </c>
      <c r="L23">
        <f t="shared" si="8"/>
        <v>2025</v>
      </c>
      <c r="M23">
        <f t="shared" si="9"/>
        <v>7</v>
      </c>
      <c r="N23">
        <f t="shared" si="10"/>
        <v>3</v>
      </c>
      <c r="O23">
        <f t="shared" si="11"/>
        <v>2025</v>
      </c>
      <c r="P23" t="str">
        <f t="shared" si="13"/>
        <v>(1–7 March 2025)</v>
      </c>
      <c r="Q23" t="str">
        <f t="shared" si="14"/>
        <v>Week 7 (1–7 March 2025): Tools as Habit, Not Exception</v>
      </c>
    </row>
    <row r="24" spans="1:17" x14ac:dyDescent="0.2">
      <c r="A24" t="s">
        <v>26</v>
      </c>
      <c r="B24" t="str" cm="1">
        <f t="array" ref="B24">_xlfn.TEXTJOIN("",,MID(A24,_xlfn.SEQUENCE(LEN(A24),,LEN(A24),-1),1))</f>
        <v>151 egareveL sa ecivreS dna pihsnezitiC :8 keeW .81</v>
      </c>
      <c r="C24" t="str">
        <f t="shared" si="0"/>
        <v>egareveL sa ecivreS dna pihsnezitiC :8 keeW .81</v>
      </c>
      <c r="D24" t="str" cm="1">
        <f t="array" ref="D24">_xlfn.TEXTJOIN("",,MID(C24,_xlfn.SEQUENCE(LEN(C24),,LEN(C24),-1),1))</f>
        <v>18. Week 8: Citizenship and Service as Leverage</v>
      </c>
      <c r="E24" t="str">
        <f t="shared" si="1"/>
        <v>Yes</v>
      </c>
      <c r="F24" t="str">
        <f t="shared" si="2"/>
        <v>Week 8: Citizenship and Service as Leverage</v>
      </c>
      <c r="G24">
        <f t="shared" si="3"/>
        <v>8</v>
      </c>
      <c r="H24">
        <f t="shared" si="15"/>
        <v>45724</v>
      </c>
      <c r="I24">
        <f t="shared" si="16"/>
        <v>45730</v>
      </c>
      <c r="J24">
        <f t="shared" si="6"/>
        <v>8</v>
      </c>
      <c r="K24">
        <f t="shared" si="7"/>
        <v>3</v>
      </c>
      <c r="L24">
        <f t="shared" si="8"/>
        <v>2025</v>
      </c>
      <c r="M24">
        <f t="shared" si="9"/>
        <v>14</v>
      </c>
      <c r="N24">
        <f t="shared" si="10"/>
        <v>3</v>
      </c>
      <c r="O24">
        <f t="shared" si="11"/>
        <v>2025</v>
      </c>
      <c r="P24" t="str">
        <f t="shared" si="13"/>
        <v>(8–14 March 2025)</v>
      </c>
      <c r="Q24" t="str">
        <f t="shared" si="14"/>
        <v>Week 8 (8–14 March 2025): Citizenship and Service as Leverage</v>
      </c>
    </row>
    <row r="25" spans="1:17" x14ac:dyDescent="0.2">
      <c r="A25" t="s">
        <v>27</v>
      </c>
      <c r="B25" t="str" cm="1">
        <f t="array" ref="B25">_xlfn.TEXTJOIN("",,MID(A25,_xlfn.SEQUENCE(LEN(A25),,LEN(A25),-1),1))</f>
        <v>361 ecnanrevoG enituoR sa srewoP ycnegremE :9 keeW .91</v>
      </c>
      <c r="C25" t="str">
        <f t="shared" si="0"/>
        <v>ecnanrevoG enituoR sa srewoP ycnegremE :9 keeW .91</v>
      </c>
      <c r="D25" t="str" cm="1">
        <f t="array" ref="D25">_xlfn.TEXTJOIN("",,MID(C25,_xlfn.SEQUENCE(LEN(C25),,LEN(C25),-1),1))</f>
        <v>19. Week 9: Emergency Powers as Routine Governance</v>
      </c>
      <c r="E25" t="str">
        <f t="shared" si="1"/>
        <v>Yes</v>
      </c>
      <c r="F25" t="str">
        <f t="shared" si="2"/>
        <v>Week 9: Emergency Powers as Routine Governance</v>
      </c>
      <c r="G25">
        <f t="shared" si="3"/>
        <v>9</v>
      </c>
      <c r="H25">
        <f t="shared" si="15"/>
        <v>45731</v>
      </c>
      <c r="I25">
        <f t="shared" si="16"/>
        <v>45737</v>
      </c>
      <c r="J25">
        <f t="shared" si="6"/>
        <v>15</v>
      </c>
      <c r="K25">
        <f t="shared" si="7"/>
        <v>3</v>
      </c>
      <c r="L25">
        <f t="shared" si="8"/>
        <v>2025</v>
      </c>
      <c r="M25">
        <f t="shared" si="9"/>
        <v>21</v>
      </c>
      <c r="N25">
        <f t="shared" si="10"/>
        <v>3</v>
      </c>
      <c r="O25">
        <f t="shared" si="11"/>
        <v>2025</v>
      </c>
      <c r="P25" t="str">
        <f t="shared" si="13"/>
        <v>(15–21 March 2025)</v>
      </c>
      <c r="Q25" t="str">
        <f t="shared" si="14"/>
        <v>Week 9 (15–21 March 2025): Emergency Powers as Routine Governance</v>
      </c>
    </row>
    <row r="26" spans="1:17" x14ac:dyDescent="0.2">
      <c r="A26" t="s">
        <v>28</v>
      </c>
      <c r="B26" t="str" cm="1">
        <f t="array" ref="B26">_xlfn.TEXTJOIN("",,MID(A26,_xlfn.SEQUENCE(LEN(A26),,LEN(A26),-1),1))</f>
        <v>571 egareveL sa slloR retoV :01 keeW .02</v>
      </c>
      <c r="C26" t="str">
        <f t="shared" si="0"/>
        <v>egareveL sa slloR retoV :01 keeW .02</v>
      </c>
      <c r="D26" t="str" cm="1">
        <f t="array" ref="D26">_xlfn.TEXTJOIN("",,MID(C26,_xlfn.SEQUENCE(LEN(C26),,LEN(C26),-1),1))</f>
        <v>20. Week 10: Voter Rolls as Leverage</v>
      </c>
      <c r="E26" t="str">
        <f t="shared" si="1"/>
        <v>Yes</v>
      </c>
      <c r="F26" t="str">
        <f t="shared" si="2"/>
        <v>Week 10: Voter Rolls as Leverage</v>
      </c>
      <c r="G26">
        <f t="shared" si="3"/>
        <v>10</v>
      </c>
      <c r="H26">
        <f t="shared" si="15"/>
        <v>45738</v>
      </c>
      <c r="I26">
        <f t="shared" si="16"/>
        <v>45744</v>
      </c>
      <c r="J26">
        <f t="shared" si="6"/>
        <v>22</v>
      </c>
      <c r="K26">
        <f t="shared" si="7"/>
        <v>3</v>
      </c>
      <c r="L26">
        <f t="shared" si="8"/>
        <v>2025</v>
      </c>
      <c r="M26">
        <f t="shared" si="9"/>
        <v>28</v>
      </c>
      <c r="N26">
        <f t="shared" si="10"/>
        <v>3</v>
      </c>
      <c r="O26">
        <f t="shared" si="11"/>
        <v>2025</v>
      </c>
      <c r="P26" t="str">
        <f t="shared" si="13"/>
        <v>(22–28 March 2025)</v>
      </c>
      <c r="Q26" t="str">
        <f t="shared" si="14"/>
        <v>Week 10 (22–28 March 2025): Voter Rolls as Leverage</v>
      </c>
    </row>
    <row r="27" spans="1:17" x14ac:dyDescent="0.2">
      <c r="A27" t="s">
        <v>29</v>
      </c>
      <c r="B27" t="str" cm="1">
        <f t="array" ref="B27">_xlfn.TEXTJOIN("",,MID(A27,_xlfn.SEQUENCE(LEN(A27),,LEN(A27),-1),1))</f>
        <v>581 ecnanrevoG lacidohteM sa soahC :11 keeW .12</v>
      </c>
      <c r="C27" t="str">
        <f t="shared" si="0"/>
        <v>ecnanrevoG lacidohteM sa soahC :11 keeW .12</v>
      </c>
      <c r="D27" t="str" cm="1">
        <f t="array" ref="D27">_xlfn.TEXTJOIN("",,MID(C27,_xlfn.SEQUENCE(LEN(C27),,LEN(C27),-1),1))</f>
        <v>21. Week 11: Chaos as Methodical Governance</v>
      </c>
      <c r="E27" t="str">
        <f t="shared" si="1"/>
        <v>Yes</v>
      </c>
      <c r="F27" t="str">
        <f t="shared" si="2"/>
        <v>Week 11: Chaos as Methodical Governance</v>
      </c>
      <c r="G27">
        <f t="shared" si="3"/>
        <v>11</v>
      </c>
      <c r="H27">
        <f t="shared" si="15"/>
        <v>45745</v>
      </c>
      <c r="I27">
        <f t="shared" si="16"/>
        <v>45751</v>
      </c>
      <c r="J27">
        <f t="shared" si="6"/>
        <v>29</v>
      </c>
      <c r="K27">
        <f t="shared" si="7"/>
        <v>3</v>
      </c>
      <c r="L27">
        <f t="shared" si="8"/>
        <v>2025</v>
      </c>
      <c r="M27">
        <f t="shared" si="9"/>
        <v>4</v>
      </c>
      <c r="N27">
        <f t="shared" si="10"/>
        <v>4</v>
      </c>
      <c r="O27">
        <f t="shared" si="11"/>
        <v>2025</v>
      </c>
      <c r="P27" t="str">
        <f t="shared" si="13"/>
        <v>(29 March–4 April 2025)</v>
      </c>
      <c r="Q27" t="str">
        <f t="shared" si="14"/>
        <v>Week 11 (29 March–4 April 2025): Chaos as Methodical Governance</v>
      </c>
    </row>
    <row r="28" spans="1:17" x14ac:dyDescent="0.2">
      <c r="A28" t="s">
        <v>30</v>
      </c>
      <c r="B28" t="str" cm="1">
        <f t="array" ref="B28">_xlfn.TEXTJOIN("",,MID(A28,_xlfn.SEQUENCE(LEN(A28),,LEN(A28),-1),1))</f>
        <v>791 ecnanrevoG enituoR sa srewoP ycnegremE :21 keeW .22</v>
      </c>
      <c r="C28" t="str">
        <f t="shared" si="0"/>
        <v>ecnanrevoG enituoR sa srewoP ycnegremE :21 keeW .22</v>
      </c>
      <c r="D28" t="str" cm="1">
        <f t="array" ref="D28">_xlfn.TEXTJOIN("",,MID(C28,_xlfn.SEQUENCE(LEN(C28),,LEN(C28),-1),1))</f>
        <v>22. Week 12: Emergency Powers as Routine Governance</v>
      </c>
      <c r="E28" t="str">
        <f t="shared" si="1"/>
        <v>Yes</v>
      </c>
      <c r="F28" t="str">
        <f t="shared" si="2"/>
        <v>Week 12: Emergency Powers as Routine Governance</v>
      </c>
      <c r="G28">
        <f t="shared" si="3"/>
        <v>12</v>
      </c>
      <c r="H28">
        <f t="shared" si="15"/>
        <v>45752</v>
      </c>
      <c r="I28">
        <f t="shared" si="16"/>
        <v>45758</v>
      </c>
      <c r="J28">
        <f t="shared" si="6"/>
        <v>5</v>
      </c>
      <c r="K28">
        <f t="shared" si="7"/>
        <v>4</v>
      </c>
      <c r="L28">
        <f t="shared" si="8"/>
        <v>2025</v>
      </c>
      <c r="M28">
        <f t="shared" si="9"/>
        <v>11</v>
      </c>
      <c r="N28">
        <f t="shared" si="10"/>
        <v>4</v>
      </c>
      <c r="O28">
        <f t="shared" si="11"/>
        <v>2025</v>
      </c>
      <c r="P28" t="str">
        <f t="shared" si="13"/>
        <v>(5–11 April 2025)</v>
      </c>
      <c r="Q28" t="str">
        <f t="shared" si="14"/>
        <v>Week 12 (5–11 April 2025): Emergency Powers as Routine Governance</v>
      </c>
    </row>
    <row r="29" spans="1:17" x14ac:dyDescent="0.2">
      <c r="A29" t="s">
        <v>31</v>
      </c>
      <c r="B29" t="str" cm="1">
        <f t="array" ref="B29">_xlfn.TEXTJOIN("",,MID(A29,_xlfn.SEQUENCE(LEN(A29),,LEN(A29),-1),1))</f>
        <v>902 ecnanrevoG yliaD sa ytlayoL :31 keeW .32</v>
      </c>
      <c r="C29" t="str">
        <f t="shared" si="0"/>
        <v>ecnanrevoG yliaD sa ytlayoL :31 keeW .32</v>
      </c>
      <c r="D29" t="str" cm="1">
        <f t="array" ref="D29">_xlfn.TEXTJOIN("",,MID(C29,_xlfn.SEQUENCE(LEN(C29),,LEN(C29),-1),1))</f>
        <v>23. Week 13: Loyalty as Daily Governance</v>
      </c>
      <c r="E29" t="str">
        <f t="shared" si="1"/>
        <v>Yes</v>
      </c>
      <c r="F29" t="str">
        <f t="shared" si="2"/>
        <v>Week 13: Loyalty as Daily Governance</v>
      </c>
      <c r="G29">
        <f t="shared" si="3"/>
        <v>13</v>
      </c>
      <c r="H29">
        <f t="shared" si="15"/>
        <v>45759</v>
      </c>
      <c r="I29">
        <f t="shared" si="16"/>
        <v>45765</v>
      </c>
      <c r="J29">
        <f t="shared" si="6"/>
        <v>12</v>
      </c>
      <c r="K29">
        <f t="shared" si="7"/>
        <v>4</v>
      </c>
      <c r="L29">
        <f t="shared" si="8"/>
        <v>2025</v>
      </c>
      <c r="M29">
        <f t="shared" si="9"/>
        <v>18</v>
      </c>
      <c r="N29">
        <f t="shared" si="10"/>
        <v>4</v>
      </c>
      <c r="O29">
        <f t="shared" si="11"/>
        <v>2025</v>
      </c>
      <c r="P29" t="str">
        <f t="shared" si="13"/>
        <v>(12–18 April 2025)</v>
      </c>
      <c r="Q29" t="str">
        <f t="shared" si="14"/>
        <v>Week 13 (12–18 April 2025): Loyalty as Daily Governance</v>
      </c>
    </row>
    <row r="30" spans="1:17" x14ac:dyDescent="0.2">
      <c r="A30" t="s">
        <v>32</v>
      </c>
      <c r="B30" t="str" cm="1">
        <f t="array" ref="B30">_xlfn.TEXTJOIN("",,MID(A30,_xlfn.SEQUENCE(LEN(A30),,LEN(A30),-1),1))</f>
        <v>912 sreveL sa sredroB dna seitisrevinU :41 keeW .42</v>
      </c>
      <c r="C30" t="str">
        <f t="shared" si="0"/>
        <v>sreveL sa sredroB dna seitisrevinU :41 keeW .42</v>
      </c>
      <c r="D30" t="str" cm="1">
        <f t="array" ref="D30">_xlfn.TEXTJOIN("",,MID(C30,_xlfn.SEQUENCE(LEN(C30),,LEN(C30),-1),1))</f>
        <v>24. Week 14: Universities and Borders as Levers</v>
      </c>
      <c r="E30" t="str">
        <f t="shared" si="1"/>
        <v>Yes</v>
      </c>
      <c r="F30" t="str">
        <f t="shared" si="2"/>
        <v>Week 14: Universities and Borders as Levers</v>
      </c>
      <c r="G30">
        <f t="shared" si="3"/>
        <v>14</v>
      </c>
      <c r="H30">
        <f t="shared" si="15"/>
        <v>45766</v>
      </c>
      <c r="I30">
        <f t="shared" si="16"/>
        <v>45772</v>
      </c>
      <c r="J30">
        <f t="shared" si="6"/>
        <v>19</v>
      </c>
      <c r="K30">
        <f t="shared" si="7"/>
        <v>4</v>
      </c>
      <c r="L30">
        <f t="shared" si="8"/>
        <v>2025</v>
      </c>
      <c r="M30">
        <f t="shared" si="9"/>
        <v>25</v>
      </c>
      <c r="N30">
        <f t="shared" si="10"/>
        <v>4</v>
      </c>
      <c r="O30">
        <f t="shared" si="11"/>
        <v>2025</v>
      </c>
      <c r="P30" t="str">
        <f t="shared" si="13"/>
        <v>(19–25 April 2025)</v>
      </c>
      <c r="Q30" t="str">
        <f t="shared" si="14"/>
        <v>Week 14 (19–25 April 2025): Universities and Borders as Levers</v>
      </c>
    </row>
    <row r="31" spans="1:17" x14ac:dyDescent="0.2">
      <c r="A31" t="s">
        <v>33</v>
      </c>
      <c r="B31" t="str" cm="1">
        <f t="array" ref="B31">_xlfn.TEXTJOIN("",,MID(A31,_xlfn.SEQUENCE(LEN(A31),,LEN(A31),-1),1))</f>
        <v>132 ecnanrevoG enituoR sa eluR ycnegremE :51 keeW .52</v>
      </c>
      <c r="C31" t="str">
        <f t="shared" si="0"/>
        <v>ecnanrevoG enituoR sa eluR ycnegremE :51 keeW .52</v>
      </c>
      <c r="D31" t="str" cm="1">
        <f t="array" ref="D31">_xlfn.TEXTJOIN("",,MID(C31,_xlfn.SEQUENCE(LEN(C31),,LEN(C31),-1),1))</f>
        <v>25. Week 15: Emergency Rule as Routine Governance</v>
      </c>
      <c r="E31" t="str">
        <f t="shared" si="1"/>
        <v>Yes</v>
      </c>
      <c r="F31" t="str">
        <f t="shared" si="2"/>
        <v>Week 15: Emergency Rule as Routine Governance</v>
      </c>
      <c r="G31">
        <f t="shared" si="3"/>
        <v>15</v>
      </c>
      <c r="H31">
        <f t="shared" si="15"/>
        <v>45773</v>
      </c>
      <c r="I31">
        <f t="shared" si="16"/>
        <v>45779</v>
      </c>
      <c r="J31">
        <f t="shared" si="6"/>
        <v>26</v>
      </c>
      <c r="K31">
        <f t="shared" si="7"/>
        <v>4</v>
      </c>
      <c r="L31">
        <f t="shared" si="8"/>
        <v>2025</v>
      </c>
      <c r="M31">
        <f t="shared" si="9"/>
        <v>2</v>
      </c>
      <c r="N31">
        <f t="shared" si="10"/>
        <v>5</v>
      </c>
      <c r="O31">
        <f t="shared" si="11"/>
        <v>2025</v>
      </c>
      <c r="P31" t="str">
        <f t="shared" si="13"/>
        <v>(26 April–2 May 2025)</v>
      </c>
      <c r="Q31" t="str">
        <f t="shared" si="14"/>
        <v>Week 15 (26 April–2 May 2025): Emergency Rule as Routine Governance</v>
      </c>
    </row>
    <row r="32" spans="1:17" x14ac:dyDescent="0.2">
      <c r="A32" t="s">
        <v>34</v>
      </c>
      <c r="B32" t="str" cm="1">
        <f t="array" ref="B32">_xlfn.TEXTJOIN("",,MID(A32,_xlfn.SEQUENCE(LEN(A32),,LEN(A32),-1),1))</f>
        <v>342 ecnanrevoG enituoR sa sthgiR deifitartS :61 keeW .62</v>
      </c>
      <c r="C32" t="str">
        <f t="shared" si="0"/>
        <v>ecnanrevoG enituoR sa sthgiR deifitartS :61 keeW .62</v>
      </c>
      <c r="D32" t="str" cm="1">
        <f t="array" ref="D32">_xlfn.TEXTJOIN("",,MID(C32,_xlfn.SEQUENCE(LEN(C32),,LEN(C32),-1),1))</f>
        <v>26. Week 16: Stratified Rights as Routine Governance</v>
      </c>
      <c r="E32" t="str">
        <f t="shared" si="1"/>
        <v>Yes</v>
      </c>
      <c r="F32" t="str">
        <f t="shared" si="2"/>
        <v>Week 16: Stratified Rights as Routine Governance</v>
      </c>
      <c r="G32">
        <f t="shared" si="3"/>
        <v>16</v>
      </c>
      <c r="H32">
        <f t="shared" si="15"/>
        <v>45780</v>
      </c>
      <c r="I32">
        <f t="shared" si="16"/>
        <v>45786</v>
      </c>
      <c r="J32">
        <f t="shared" si="6"/>
        <v>3</v>
      </c>
      <c r="K32">
        <f t="shared" si="7"/>
        <v>5</v>
      </c>
      <c r="L32">
        <f t="shared" si="8"/>
        <v>2025</v>
      </c>
      <c r="M32">
        <f t="shared" si="9"/>
        <v>9</v>
      </c>
      <c r="N32">
        <f t="shared" si="10"/>
        <v>5</v>
      </c>
      <c r="O32">
        <f t="shared" si="11"/>
        <v>2025</v>
      </c>
      <c r="P32" t="str">
        <f t="shared" si="13"/>
        <v>(3–9 May 2025)</v>
      </c>
      <c r="Q32" t="str">
        <f t="shared" si="14"/>
        <v>Week 16 (3–9 May 2025): Stratified Rights as Routine Governance</v>
      </c>
    </row>
    <row r="33" spans="1:17" x14ac:dyDescent="0.2">
      <c r="A33" t="s">
        <v>35</v>
      </c>
      <c r="B33" t="str" cm="1">
        <f t="array" ref="B33">_xlfn.TEXTJOIN("",,MID(A33,_xlfn.SEQUENCE(LEN(A33),,LEN(A33),-1),1))</f>
        <v>552 egareveL sa pihsnezitiC :71 keeW .72</v>
      </c>
      <c r="C33" t="str">
        <f t="shared" si="0"/>
        <v>egareveL sa pihsnezitiC :71 keeW .72</v>
      </c>
      <c r="D33" t="str" cm="1">
        <f t="array" ref="D33">_xlfn.TEXTJOIN("",,MID(C33,_xlfn.SEQUENCE(LEN(C33),,LEN(C33),-1),1))</f>
        <v>27. Week 17: Citizenship as Leverage</v>
      </c>
      <c r="E33" t="str">
        <f t="shared" si="1"/>
        <v>Yes</v>
      </c>
      <c r="F33" t="str">
        <f t="shared" si="2"/>
        <v>Week 17: Citizenship as Leverage</v>
      </c>
      <c r="G33">
        <f t="shared" si="3"/>
        <v>17</v>
      </c>
      <c r="H33">
        <f t="shared" si="15"/>
        <v>45787</v>
      </c>
      <c r="I33">
        <f t="shared" si="16"/>
        <v>45793</v>
      </c>
      <c r="J33">
        <f t="shared" si="6"/>
        <v>10</v>
      </c>
      <c r="K33">
        <f t="shared" si="7"/>
        <v>5</v>
      </c>
      <c r="L33">
        <f t="shared" si="8"/>
        <v>2025</v>
      </c>
      <c r="M33">
        <f t="shared" si="9"/>
        <v>16</v>
      </c>
      <c r="N33">
        <f t="shared" si="10"/>
        <v>5</v>
      </c>
      <c r="O33">
        <f t="shared" si="11"/>
        <v>2025</v>
      </c>
      <c r="P33" t="str">
        <f t="shared" si="13"/>
        <v>(10–16 May 2025)</v>
      </c>
      <c r="Q33" t="str">
        <f t="shared" si="14"/>
        <v>Week 17 (10–16 May 2025): Citizenship as Leverage</v>
      </c>
    </row>
    <row r="34" spans="1:17" x14ac:dyDescent="0.2">
      <c r="A34" t="s">
        <v>36</v>
      </c>
      <c r="B34" t="str" cm="1">
        <f t="array" ref="B34">_xlfn.TEXTJOIN("",,MID(A34,_xlfn.SEQUENCE(LEN(A34),,LEN(A34),-1),1))</f>
        <v>762 metsyS gnitarepO sa ytilauqenI :81 keeW .82</v>
      </c>
      <c r="C34" t="str">
        <f t="shared" si="0"/>
        <v>metsyS gnitarepO sa ytilauqenI :81 keeW .82</v>
      </c>
      <c r="D34" t="str" cm="1">
        <f t="array" ref="D34">_xlfn.TEXTJOIN("",,MID(C34,_xlfn.SEQUENCE(LEN(C34),,LEN(C34),-1),1))</f>
        <v>28. Week 18: Inequality as Operating System</v>
      </c>
      <c r="E34" t="str">
        <f t="shared" si="1"/>
        <v>Yes</v>
      </c>
      <c r="F34" t="str">
        <f t="shared" si="2"/>
        <v>Week 18: Inequality as Operating System</v>
      </c>
      <c r="G34">
        <f t="shared" si="3"/>
        <v>18</v>
      </c>
      <c r="H34">
        <f t="shared" si="15"/>
        <v>45794</v>
      </c>
      <c r="I34">
        <f t="shared" si="16"/>
        <v>45800</v>
      </c>
      <c r="J34">
        <f t="shared" si="6"/>
        <v>17</v>
      </c>
      <c r="K34">
        <f t="shared" si="7"/>
        <v>5</v>
      </c>
      <c r="L34">
        <f t="shared" si="8"/>
        <v>2025</v>
      </c>
      <c r="M34">
        <f t="shared" si="9"/>
        <v>23</v>
      </c>
      <c r="N34">
        <f t="shared" si="10"/>
        <v>5</v>
      </c>
      <c r="O34">
        <f t="shared" si="11"/>
        <v>2025</v>
      </c>
      <c r="P34" t="str">
        <f t="shared" si="13"/>
        <v>(17–23 May 2025)</v>
      </c>
      <c r="Q34" t="str">
        <f t="shared" si="14"/>
        <v>Week 18 (17–23 May 2025): Inequality as Operating System</v>
      </c>
    </row>
    <row r="35" spans="1:17" x14ac:dyDescent="0.2">
      <c r="A35" t="s">
        <v>37</v>
      </c>
      <c r="B35" t="str" cm="1">
        <f t="array" ref="B35">_xlfn.TEXTJOIN("",,MID(A35,_xlfn.SEQUENCE(LEN(A35),,LEN(A35),-1),1))</f>
        <v>972 ytlayoL fo stnemurtsnI sa snoitutitsnI :91 keeW .92</v>
      </c>
      <c r="C35" t="str">
        <f t="shared" si="0"/>
        <v>ytlayoL fo stnemurtsnI sa snoitutitsnI :91 keeW .92</v>
      </c>
      <c r="D35" t="str" cm="1">
        <f t="array" ref="D35">_xlfn.TEXTJOIN("",,MID(C35,_xlfn.SEQUENCE(LEN(C35),,LEN(C35),-1),1))</f>
        <v>29. Week 19: Institutions as Instruments of Loyalty</v>
      </c>
      <c r="E35" t="str">
        <f t="shared" si="1"/>
        <v>Yes</v>
      </c>
      <c r="F35" t="str">
        <f t="shared" si="2"/>
        <v>Week 19: Institutions as Instruments of Loyalty</v>
      </c>
      <c r="G35">
        <f t="shared" si="3"/>
        <v>19</v>
      </c>
      <c r="H35">
        <f t="shared" si="15"/>
        <v>45801</v>
      </c>
      <c r="I35">
        <f t="shared" si="16"/>
        <v>45807</v>
      </c>
      <c r="J35">
        <f t="shared" si="6"/>
        <v>24</v>
      </c>
      <c r="K35">
        <f t="shared" si="7"/>
        <v>5</v>
      </c>
      <c r="L35">
        <f t="shared" si="8"/>
        <v>2025</v>
      </c>
      <c r="M35">
        <f t="shared" si="9"/>
        <v>30</v>
      </c>
      <c r="N35">
        <f t="shared" si="10"/>
        <v>5</v>
      </c>
      <c r="O35">
        <f t="shared" si="11"/>
        <v>2025</v>
      </c>
      <c r="P35" t="str">
        <f t="shared" si="13"/>
        <v>(24–30 May 2025)</v>
      </c>
      <c r="Q35" t="str">
        <f t="shared" si="14"/>
        <v>Week 19 (24–30 May 2025): Institutions as Instruments of Loyalty</v>
      </c>
    </row>
    <row r="36" spans="1:17" x14ac:dyDescent="0.2">
      <c r="A36" t="s">
        <v>38</v>
      </c>
      <c r="B36" t="str" cm="1">
        <f t="array" ref="B36">_xlfn.TEXTJOIN("",,MID(A36,_xlfn.SEQUENCE(LEN(A36),,LEN(A36),-1),1))</f>
        <v>192 ecnanrevoG yadyrevE sa ecnallievruS :02 keeW .03</v>
      </c>
      <c r="C36" t="str">
        <f t="shared" si="0"/>
        <v>ecnanrevoG yadyrevE sa ecnallievruS :02 keeW .03</v>
      </c>
      <c r="D36" t="str" cm="1">
        <f t="array" ref="D36">_xlfn.TEXTJOIN("",,MID(C36,_xlfn.SEQUENCE(LEN(C36),,LEN(C36),-1),1))</f>
        <v>30. Week 20: Surveillance as Everyday Governance</v>
      </c>
      <c r="E36" t="str">
        <f t="shared" si="1"/>
        <v>Yes</v>
      </c>
      <c r="F36" t="str">
        <f t="shared" si="2"/>
        <v>Week 20: Surveillance as Everyday Governance</v>
      </c>
      <c r="G36">
        <f t="shared" si="3"/>
        <v>20</v>
      </c>
      <c r="H36">
        <f t="shared" si="15"/>
        <v>45808</v>
      </c>
      <c r="I36">
        <f t="shared" si="16"/>
        <v>45814</v>
      </c>
      <c r="J36">
        <f t="shared" si="6"/>
        <v>31</v>
      </c>
      <c r="K36">
        <f t="shared" si="7"/>
        <v>5</v>
      </c>
      <c r="L36">
        <f t="shared" si="8"/>
        <v>2025</v>
      </c>
      <c r="M36">
        <f t="shared" si="9"/>
        <v>6</v>
      </c>
      <c r="N36">
        <f t="shared" si="10"/>
        <v>6</v>
      </c>
      <c r="O36">
        <f t="shared" si="11"/>
        <v>2025</v>
      </c>
      <c r="P36" t="str">
        <f t="shared" si="13"/>
        <v>(31 May–6 June 2025)</v>
      </c>
      <c r="Q36" t="str">
        <f t="shared" si="14"/>
        <v>Week 20 (31 May–6 June 2025): Surveillance as Everyday Governance</v>
      </c>
    </row>
    <row r="37" spans="1:17" x14ac:dyDescent="0.2">
      <c r="A37" t="s">
        <v>39</v>
      </c>
      <c r="B37" t="str" cm="1">
        <f t="array" ref="B37">_xlfn.TEXTJOIN("",,MID(A37,_xlfn.SEQUENCE(LEN(A37),,LEN(A37),-1),1))</f>
        <v>303 ecnanrevoG enituoR sa srewoP ycnegremE :12 keeW .13</v>
      </c>
      <c r="C37" t="str">
        <f t="shared" si="0"/>
        <v>ecnanrevoG enituoR sa srewoP ycnegremE :12 keeW .13</v>
      </c>
      <c r="D37" t="str" cm="1">
        <f t="array" ref="D37">_xlfn.TEXTJOIN("",,MID(C37,_xlfn.SEQUENCE(LEN(C37),,LEN(C37),-1),1))</f>
        <v>31. Week 21: Emergency Powers as Routine Governance</v>
      </c>
      <c r="E37" t="str">
        <f t="shared" si="1"/>
        <v>Yes</v>
      </c>
      <c r="F37" t="str">
        <f t="shared" si="2"/>
        <v>Week 21: Emergency Powers as Routine Governance</v>
      </c>
      <c r="G37">
        <f t="shared" si="3"/>
        <v>21</v>
      </c>
      <c r="H37">
        <f t="shared" si="15"/>
        <v>45815</v>
      </c>
      <c r="I37">
        <f t="shared" si="16"/>
        <v>45821</v>
      </c>
      <c r="J37">
        <f t="shared" si="6"/>
        <v>7</v>
      </c>
      <c r="K37">
        <f t="shared" si="7"/>
        <v>6</v>
      </c>
      <c r="L37">
        <f t="shared" si="8"/>
        <v>2025</v>
      </c>
      <c r="M37">
        <f t="shared" si="9"/>
        <v>13</v>
      </c>
      <c r="N37">
        <f t="shared" si="10"/>
        <v>6</v>
      </c>
      <c r="O37">
        <f t="shared" si="11"/>
        <v>2025</v>
      </c>
      <c r="P37" t="str">
        <f t="shared" si="13"/>
        <v>(7–13 June 2025)</v>
      </c>
      <c r="Q37" t="str">
        <f t="shared" si="14"/>
        <v>Week 21 (7–13 June 2025): Emergency Powers as Routine Governance</v>
      </c>
    </row>
    <row r="38" spans="1:17" x14ac:dyDescent="0.2">
      <c r="A38" t="s">
        <v>40</v>
      </c>
      <c r="B38" t="str" cm="1">
        <f t="array" ref="B38">_xlfn.TEXTJOIN("",,MID(A38,_xlfn.SEQUENCE(LEN(A38),,LEN(A38),-1),1))</f>
        <v>513 msinahceM gnitroS sa pihsnezitiC :22 keeW .23</v>
      </c>
      <c r="C38" t="str">
        <f t="shared" si="0"/>
        <v>msinahceM gnitroS sa pihsnezitiC :22 keeW .23</v>
      </c>
      <c r="D38" t="str" cm="1">
        <f t="array" ref="D38">_xlfn.TEXTJOIN("",,MID(C38,_xlfn.SEQUENCE(LEN(C38),,LEN(C38),-1),1))</f>
        <v>32. Week 22: Citizenship as Sorting Mechanism</v>
      </c>
      <c r="E38" t="str">
        <f t="shared" si="1"/>
        <v>Yes</v>
      </c>
      <c r="F38" t="str">
        <f t="shared" si="2"/>
        <v>Week 22: Citizenship as Sorting Mechanism</v>
      </c>
      <c r="G38">
        <f t="shared" si="3"/>
        <v>22</v>
      </c>
      <c r="H38">
        <f t="shared" si="15"/>
        <v>45822</v>
      </c>
      <c r="I38">
        <f t="shared" si="16"/>
        <v>45828</v>
      </c>
      <c r="J38">
        <f t="shared" si="6"/>
        <v>14</v>
      </c>
      <c r="K38">
        <f t="shared" si="7"/>
        <v>6</v>
      </c>
      <c r="L38">
        <f t="shared" si="8"/>
        <v>2025</v>
      </c>
      <c r="M38">
        <f t="shared" si="9"/>
        <v>20</v>
      </c>
      <c r="N38">
        <f t="shared" si="10"/>
        <v>6</v>
      </c>
      <c r="O38">
        <f t="shared" si="11"/>
        <v>2025</v>
      </c>
      <c r="P38" t="str">
        <f t="shared" si="13"/>
        <v>(14–20 June 2025)</v>
      </c>
      <c r="Q38" t="str">
        <f t="shared" si="14"/>
        <v>Week 22 (14–20 June 2025): Citizenship as Sorting Mechanism</v>
      </c>
    </row>
    <row r="39" spans="1:17" x14ac:dyDescent="0.2">
      <c r="A39" t="s">
        <v>41</v>
      </c>
      <c r="B39" t="str" cm="1">
        <f t="array" ref="B39">_xlfn.TEXTJOIN("",,MID(A39,_xlfn.SEQUENCE(LEN(A39),,LEN(A39),-1),1))</f>
        <v>523 dohteM gnikaM-raW sa ycerceS :32 keeW .33</v>
      </c>
      <c r="C39" t="str">
        <f t="shared" si="0"/>
        <v>dohteM gnikaM-raW sa ycerceS :32 keeW .33</v>
      </c>
      <c r="D39" t="str" cm="1">
        <f t="array" ref="D39">_xlfn.TEXTJOIN("",,MID(C39,_xlfn.SEQUENCE(LEN(C39),,LEN(C39),-1),1))</f>
        <v>33. Week 23: Secrecy as War-Making Method</v>
      </c>
      <c r="E39" t="str">
        <f t="shared" si="1"/>
        <v>Yes</v>
      </c>
      <c r="F39" t="str">
        <f t="shared" si="2"/>
        <v>Week 23: Secrecy as War-Making Method</v>
      </c>
      <c r="G39">
        <f t="shared" si="3"/>
        <v>23</v>
      </c>
      <c r="H39">
        <f t="shared" si="15"/>
        <v>45829</v>
      </c>
      <c r="I39">
        <f t="shared" si="16"/>
        <v>45835</v>
      </c>
      <c r="J39">
        <f t="shared" si="6"/>
        <v>21</v>
      </c>
      <c r="K39">
        <f t="shared" si="7"/>
        <v>6</v>
      </c>
      <c r="L39">
        <f t="shared" si="8"/>
        <v>2025</v>
      </c>
      <c r="M39">
        <f t="shared" si="9"/>
        <v>27</v>
      </c>
      <c r="N39">
        <f t="shared" si="10"/>
        <v>6</v>
      </c>
      <c r="O39">
        <f t="shared" si="11"/>
        <v>2025</v>
      </c>
      <c r="P39" t="str">
        <f t="shared" si="13"/>
        <v>(21–27 June 2025)</v>
      </c>
      <c r="Q39" t="str">
        <f t="shared" si="14"/>
        <v>Week 23 (21–27 June 2025): Secrecy as War-Making Method</v>
      </c>
    </row>
    <row r="40" spans="1:17" x14ac:dyDescent="0.2">
      <c r="A40" t="s">
        <v>42</v>
      </c>
      <c r="B40" t="str" cm="1">
        <f t="array" ref="B40">_xlfn.TEXTJOIN("",,MID(A40,_xlfn.SEQUENCE(LEN(A40),,LEN(A40),-1),1))</f>
        <v>733 ecnanrevoG sa ytilauqenI gniriwdraH :42 keeW .43</v>
      </c>
      <c r="C40" t="str">
        <f t="shared" si="0"/>
        <v>ecnanrevoG sa ytilauqenI gniriwdraH :42 keeW .43</v>
      </c>
      <c r="D40" t="str" cm="1">
        <f t="array" ref="D40">_xlfn.TEXTJOIN("",,MID(C40,_xlfn.SEQUENCE(LEN(C40),,LEN(C40),-1),1))</f>
        <v>34. Week 24: Hardwiring Inequality as Governance</v>
      </c>
      <c r="E40" t="str">
        <f t="shared" si="1"/>
        <v>Yes</v>
      </c>
      <c r="F40" t="str">
        <f t="shared" si="2"/>
        <v>Week 24: Hardwiring Inequality as Governance</v>
      </c>
      <c r="G40">
        <f t="shared" si="3"/>
        <v>24</v>
      </c>
      <c r="H40">
        <f t="shared" si="15"/>
        <v>45836</v>
      </c>
      <c r="I40">
        <f t="shared" si="16"/>
        <v>45842</v>
      </c>
      <c r="J40">
        <f t="shared" si="6"/>
        <v>28</v>
      </c>
      <c r="K40">
        <f t="shared" si="7"/>
        <v>6</v>
      </c>
      <c r="L40">
        <f t="shared" si="8"/>
        <v>2025</v>
      </c>
      <c r="M40">
        <f t="shared" si="9"/>
        <v>4</v>
      </c>
      <c r="N40">
        <f t="shared" si="10"/>
        <v>7</v>
      </c>
      <c r="O40">
        <f t="shared" si="11"/>
        <v>2025</v>
      </c>
      <c r="P40" t="str">
        <f t="shared" si="13"/>
        <v>(28 June–4 July 2025)</v>
      </c>
      <c r="Q40" t="str">
        <f t="shared" si="14"/>
        <v>Week 24 (28 June–4 July 2025): Hardwiring Inequality as Governance</v>
      </c>
    </row>
    <row r="41" spans="1:17" x14ac:dyDescent="0.2">
      <c r="A41" t="s">
        <v>43</v>
      </c>
      <c r="B41" t="str" cm="1">
        <f t="array" ref="B41">_xlfn.TEXTJOIN("",,MID(A41,_xlfn.SEQUENCE(LEN(A41),,LEN(A41),-1),1))</f>
        <v>153 rewoP fo erutcetihcrA sa ytinummI :52 keeW .53</v>
      </c>
      <c r="C41" t="str">
        <f t="shared" si="0"/>
        <v>rewoP fo erutcetihcrA sa ytinummI :52 keeW .53</v>
      </c>
      <c r="D41" t="str" cm="1">
        <f t="array" ref="D41">_xlfn.TEXTJOIN("",,MID(C41,_xlfn.SEQUENCE(LEN(C41),,LEN(C41),-1),1))</f>
        <v>35. Week 25: Immunity as Architecture of Power</v>
      </c>
      <c r="E41" t="str">
        <f t="shared" si="1"/>
        <v>Yes</v>
      </c>
      <c r="F41" t="str">
        <f t="shared" si="2"/>
        <v>Week 25: Immunity as Architecture of Power</v>
      </c>
      <c r="G41">
        <f t="shared" si="3"/>
        <v>25</v>
      </c>
      <c r="H41">
        <f t="shared" si="15"/>
        <v>45843</v>
      </c>
      <c r="I41">
        <f t="shared" si="16"/>
        <v>45849</v>
      </c>
      <c r="J41">
        <f t="shared" si="6"/>
        <v>5</v>
      </c>
      <c r="K41">
        <f t="shared" si="7"/>
        <v>7</v>
      </c>
      <c r="L41">
        <f t="shared" si="8"/>
        <v>2025</v>
      </c>
      <c r="M41">
        <f t="shared" si="9"/>
        <v>11</v>
      </c>
      <c r="N41">
        <f t="shared" si="10"/>
        <v>7</v>
      </c>
      <c r="O41">
        <f t="shared" si="11"/>
        <v>2025</v>
      </c>
      <c r="P41" t="str">
        <f t="shared" si="13"/>
        <v>(5–11 July 2025)</v>
      </c>
      <c r="Q41" t="str">
        <f t="shared" si="14"/>
        <v>Week 25 (5–11 July 2025): Immunity as Architecture of Power</v>
      </c>
    </row>
    <row r="42" spans="1:17" x14ac:dyDescent="0.2">
      <c r="A42" t="s">
        <v>44</v>
      </c>
      <c r="B42" t="str" cm="1">
        <f t="array" ref="B42">_xlfn.TEXTJOIN("",,MID(A42,_xlfn.SEQUENCE(LEN(A42),,LEN(A42),-1),1))</f>
        <v>563 ecnanrevoG sa ecroF dna ataD :62 keeW .63</v>
      </c>
      <c r="C42" t="str">
        <f t="shared" si="0"/>
        <v>ecnanrevoG sa ecroF dna ataD :62 keeW .63</v>
      </c>
      <c r="D42" t="str" cm="1">
        <f t="array" ref="D42">_xlfn.TEXTJOIN("",,MID(C42,_xlfn.SEQUENCE(LEN(C42),,LEN(C42),-1),1))</f>
        <v>36. Week 26: Data and Force as Governance</v>
      </c>
      <c r="E42" t="str">
        <f t="shared" si="1"/>
        <v>Yes</v>
      </c>
      <c r="F42" t="str">
        <f t="shared" si="2"/>
        <v>Week 26: Data and Force as Governance</v>
      </c>
      <c r="G42">
        <f t="shared" si="3"/>
        <v>26</v>
      </c>
      <c r="H42">
        <f t="shared" si="15"/>
        <v>45850</v>
      </c>
      <c r="I42">
        <f t="shared" si="16"/>
        <v>45856</v>
      </c>
      <c r="J42">
        <f t="shared" si="6"/>
        <v>12</v>
      </c>
      <c r="K42">
        <f t="shared" si="7"/>
        <v>7</v>
      </c>
      <c r="L42">
        <f t="shared" si="8"/>
        <v>2025</v>
      </c>
      <c r="M42">
        <f t="shared" si="9"/>
        <v>18</v>
      </c>
      <c r="N42">
        <f t="shared" si="10"/>
        <v>7</v>
      </c>
      <c r="O42">
        <f t="shared" si="11"/>
        <v>2025</v>
      </c>
      <c r="P42" t="str">
        <f t="shared" si="13"/>
        <v>(12–18 July 2025)</v>
      </c>
      <c r="Q42" t="str">
        <f t="shared" si="14"/>
        <v>Week 26 (12–18 July 2025): Data and Force as Governance</v>
      </c>
    </row>
    <row r="43" spans="1:17" x14ac:dyDescent="0.2">
      <c r="A43" t="s">
        <v>45</v>
      </c>
      <c r="B43" t="str" cm="1">
        <f t="array" ref="B43">_xlfn.TEXTJOIN("",,MID(A43,_xlfn.SEQUENCE(LEN(A43),,LEN(A43),-1),1))</f>
        <v>573 ecnanrevoG sa noitneteD dna sesabataD :72 keeW .73</v>
      </c>
      <c r="C43" t="str">
        <f t="shared" si="0"/>
        <v>ecnanrevoG sa noitneteD dna sesabataD :72 keeW .73</v>
      </c>
      <c r="D43" t="str" cm="1">
        <f t="array" ref="D43">_xlfn.TEXTJOIN("",,MID(C43,_xlfn.SEQUENCE(LEN(C43),,LEN(C43),-1),1))</f>
        <v>37. Week 27: Databases and Detention as Governance</v>
      </c>
      <c r="E43" t="str">
        <f t="shared" si="1"/>
        <v>Yes</v>
      </c>
      <c r="F43" t="str">
        <f t="shared" si="2"/>
        <v>Week 27: Databases and Detention as Governance</v>
      </c>
      <c r="G43">
        <f t="shared" si="3"/>
        <v>27</v>
      </c>
      <c r="H43">
        <f t="shared" si="15"/>
        <v>45857</v>
      </c>
      <c r="I43">
        <f t="shared" si="16"/>
        <v>45863</v>
      </c>
      <c r="J43">
        <f t="shared" si="6"/>
        <v>19</v>
      </c>
      <c r="K43">
        <f t="shared" si="7"/>
        <v>7</v>
      </c>
      <c r="L43">
        <f t="shared" si="8"/>
        <v>2025</v>
      </c>
      <c r="M43">
        <f t="shared" si="9"/>
        <v>25</v>
      </c>
      <c r="N43">
        <f t="shared" si="10"/>
        <v>7</v>
      </c>
      <c r="O43">
        <f t="shared" si="11"/>
        <v>2025</v>
      </c>
      <c r="P43" t="str">
        <f t="shared" si="13"/>
        <v>(19–25 July 2025)</v>
      </c>
      <c r="Q43" t="str">
        <f t="shared" si="14"/>
        <v>Week 27 (19–25 July 2025): Databases and Detention as Governance</v>
      </c>
    </row>
    <row r="44" spans="1:17" x14ac:dyDescent="0.2">
      <c r="A44" t="s">
        <v>46</v>
      </c>
      <c r="B44" t="str" cm="1">
        <f t="array" ref="B44">_xlfn.TEXTJOIN("",,MID(A44,_xlfn.SEQUENCE(LEN(A44),,LEN(A44),-1),1))</f>
        <v>583 ecnanrevoG sa tnemenifnoC :82 keeW .83</v>
      </c>
      <c r="C44" t="str">
        <f t="shared" si="0"/>
        <v>ecnanrevoG sa tnemenifnoC :82 keeW .83</v>
      </c>
      <c r="D44" t="str" cm="1">
        <f t="array" ref="D44">_xlfn.TEXTJOIN("",,MID(C44,_xlfn.SEQUENCE(LEN(C44),,LEN(C44),-1),1))</f>
        <v>38. Week 28: Confinement as Governance</v>
      </c>
      <c r="E44" t="str">
        <f t="shared" si="1"/>
        <v>Yes</v>
      </c>
      <c r="F44" t="str">
        <f t="shared" si="2"/>
        <v>Week 28: Confinement as Governance</v>
      </c>
      <c r="G44">
        <f t="shared" si="3"/>
        <v>28</v>
      </c>
      <c r="H44">
        <f t="shared" si="15"/>
        <v>45864</v>
      </c>
      <c r="I44">
        <f t="shared" si="16"/>
        <v>45870</v>
      </c>
      <c r="J44">
        <f t="shared" si="6"/>
        <v>26</v>
      </c>
      <c r="K44">
        <f t="shared" si="7"/>
        <v>7</v>
      </c>
      <c r="L44">
        <f t="shared" si="8"/>
        <v>2025</v>
      </c>
      <c r="M44">
        <f t="shared" si="9"/>
        <v>1</v>
      </c>
      <c r="N44">
        <f t="shared" si="10"/>
        <v>8</v>
      </c>
      <c r="O44">
        <f t="shared" si="11"/>
        <v>2025</v>
      </c>
      <c r="P44" t="str">
        <f t="shared" si="13"/>
        <v>(26 July–1 August 2025)</v>
      </c>
      <c r="Q44" t="str">
        <f t="shared" si="14"/>
        <v>Week 28 (26 July–1 August 2025): Confinement as Governance</v>
      </c>
    </row>
    <row r="45" spans="1:17" x14ac:dyDescent="0.2">
      <c r="A45" t="s">
        <v>47</v>
      </c>
      <c r="B45" t="str" cm="1">
        <f t="array" ref="B45">_xlfn.TEXTJOIN("",,MID(A45,_xlfn.SEQUENCE(LEN(A45),,LEN(A45),-1),1))</f>
        <v>593 lortnoC sa yromeM dna ,spaM ,waL :92 keeW .93</v>
      </c>
      <c r="C45" t="str">
        <f t="shared" si="0"/>
        <v>lortnoC sa yromeM dna ,spaM ,waL :92 keeW .93</v>
      </c>
      <c r="D45" t="str" cm="1">
        <f t="array" ref="D45">_xlfn.TEXTJOIN("",,MID(C45,_xlfn.SEQUENCE(LEN(C45),,LEN(C45),-1),1))</f>
        <v>39. Week 29: Law, Maps, and Memory as Control</v>
      </c>
      <c r="E45" t="str">
        <f t="shared" si="1"/>
        <v>Yes</v>
      </c>
      <c r="F45" t="str">
        <f t="shared" si="2"/>
        <v>Week 29: Law, Maps, and Memory as Control</v>
      </c>
      <c r="G45">
        <f t="shared" si="3"/>
        <v>29</v>
      </c>
      <c r="H45">
        <f t="shared" si="15"/>
        <v>45871</v>
      </c>
      <c r="I45">
        <f t="shared" si="16"/>
        <v>45877</v>
      </c>
      <c r="J45">
        <f t="shared" si="6"/>
        <v>2</v>
      </c>
      <c r="K45">
        <f t="shared" si="7"/>
        <v>8</v>
      </c>
      <c r="L45">
        <f t="shared" si="8"/>
        <v>2025</v>
      </c>
      <c r="M45">
        <f t="shared" si="9"/>
        <v>8</v>
      </c>
      <c r="N45">
        <f t="shared" si="10"/>
        <v>8</v>
      </c>
      <c r="O45">
        <f t="shared" si="11"/>
        <v>2025</v>
      </c>
      <c r="P45" t="str">
        <f t="shared" si="13"/>
        <v>(2–8 August 2025)</v>
      </c>
      <c r="Q45" t="str">
        <f t="shared" si="14"/>
        <v>Week 29 (2–8 August 2025): Law, Maps, and Memory as Control</v>
      </c>
    </row>
    <row r="46" spans="1:17" x14ac:dyDescent="0.2">
      <c r="A46" t="s">
        <v>48</v>
      </c>
      <c r="B46" t="str" cm="1">
        <f t="array" ref="B46">_xlfn.TEXTJOIN("",,MID(A46,_xlfn.SEQUENCE(LEN(A46),,LEN(A46),-1),1))</f>
        <v>704 notgnihsaW ni dohteM sa ycnegremE :03 keeW .04</v>
      </c>
      <c r="C46" t="str">
        <f t="shared" si="0"/>
        <v>notgnihsaW ni dohteM sa ycnegremE :03 keeW .04</v>
      </c>
      <c r="D46" t="str" cm="1">
        <f t="array" ref="D46">_xlfn.TEXTJOIN("",,MID(C46,_xlfn.SEQUENCE(LEN(C46),,LEN(C46),-1),1))</f>
        <v>40. Week 30: Emergency as Method in Washington</v>
      </c>
      <c r="E46" t="str">
        <f t="shared" si="1"/>
        <v>Yes</v>
      </c>
      <c r="F46" t="str">
        <f t="shared" si="2"/>
        <v>Week 30: Emergency as Method in Washington</v>
      </c>
      <c r="G46">
        <f t="shared" si="3"/>
        <v>30</v>
      </c>
      <c r="H46">
        <f t="shared" si="15"/>
        <v>45878</v>
      </c>
      <c r="I46">
        <f t="shared" si="16"/>
        <v>45884</v>
      </c>
      <c r="J46">
        <f t="shared" si="6"/>
        <v>9</v>
      </c>
      <c r="K46">
        <f t="shared" si="7"/>
        <v>8</v>
      </c>
      <c r="L46">
        <f t="shared" si="8"/>
        <v>2025</v>
      </c>
      <c r="M46">
        <f t="shared" si="9"/>
        <v>15</v>
      </c>
      <c r="N46">
        <f t="shared" si="10"/>
        <v>8</v>
      </c>
      <c r="O46">
        <f t="shared" si="11"/>
        <v>2025</v>
      </c>
      <c r="P46" t="str">
        <f t="shared" si="13"/>
        <v>(9–15 August 2025)</v>
      </c>
      <c r="Q46" t="str">
        <f t="shared" si="14"/>
        <v>Week 30 (9–15 August 2025): Emergency as Method in Washington</v>
      </c>
    </row>
    <row r="47" spans="1:17" x14ac:dyDescent="0.2">
      <c r="A47" t="s">
        <v>49</v>
      </c>
      <c r="B47" t="str" cm="1">
        <f t="array" ref="B47">_xlfn.TEXTJOIN("",,MID(A47,_xlfn.SEQUENCE(LEN(A47),,LEN(A47),-1),1))</f>
        <v>914 dohteM gninrevoG sa ycnegremE :13 keeW .14</v>
      </c>
      <c r="C47" t="str">
        <f t="shared" si="0"/>
        <v>dohteM gninrevoG sa ycnegremE :13 keeW .14</v>
      </c>
      <c r="D47" t="str" cm="1">
        <f t="array" ref="D47">_xlfn.TEXTJOIN("",,MID(C47,_xlfn.SEQUENCE(LEN(C47),,LEN(C47),-1),1))</f>
        <v>41. Week 31: Emergency as Governing Method</v>
      </c>
      <c r="E47" t="str">
        <f t="shared" si="1"/>
        <v>Yes</v>
      </c>
      <c r="F47" t="str">
        <f t="shared" si="2"/>
        <v>Week 31: Emergency as Governing Method</v>
      </c>
      <c r="G47">
        <f t="shared" si="3"/>
        <v>31</v>
      </c>
      <c r="H47">
        <f t="shared" si="15"/>
        <v>45885</v>
      </c>
      <c r="I47">
        <f t="shared" si="16"/>
        <v>45891</v>
      </c>
      <c r="J47">
        <f t="shared" si="6"/>
        <v>16</v>
      </c>
      <c r="K47">
        <f t="shared" si="7"/>
        <v>8</v>
      </c>
      <c r="L47">
        <f t="shared" si="8"/>
        <v>2025</v>
      </c>
      <c r="M47">
        <f t="shared" si="9"/>
        <v>22</v>
      </c>
      <c r="N47">
        <f t="shared" si="10"/>
        <v>8</v>
      </c>
      <c r="O47">
        <f t="shared" si="11"/>
        <v>2025</v>
      </c>
      <c r="P47" t="str">
        <f t="shared" si="13"/>
        <v>(16–22 August 2025)</v>
      </c>
      <c r="Q47" t="str">
        <f t="shared" si="14"/>
        <v>Week 31 (16–22 August 2025): Emergency as Governing Method</v>
      </c>
    </row>
    <row r="48" spans="1:17" x14ac:dyDescent="0.2">
      <c r="A48" t="s">
        <v>50</v>
      </c>
      <c r="B48" t="str" cm="1">
        <f t="array" ref="B48">_xlfn.TEXTJOIN("",,MID(A48,_xlfn.SEQUENCE(LEN(A48),,LEN(A48),-1),1))</f>
        <v>134 eluR yadyrevE sa seicnegremE :23 keeW .24</v>
      </c>
      <c r="C48" t="str">
        <f t="shared" si="0"/>
        <v>eluR yadyrevE sa seicnegremE :23 keeW .24</v>
      </c>
      <c r="D48" t="str" cm="1">
        <f t="array" ref="D48">_xlfn.TEXTJOIN("",,MID(C48,_xlfn.SEQUENCE(LEN(C48),,LEN(C48),-1),1))</f>
        <v>42. Week 32: Emergencies as Everyday Rule</v>
      </c>
      <c r="E48" t="str">
        <f t="shared" si="1"/>
        <v>Yes</v>
      </c>
      <c r="F48" t="str">
        <f t="shared" si="2"/>
        <v>Week 32: Emergencies as Everyday Rule</v>
      </c>
      <c r="G48">
        <f t="shared" si="3"/>
        <v>32</v>
      </c>
      <c r="H48">
        <f t="shared" si="15"/>
        <v>45892</v>
      </c>
      <c r="I48">
        <f t="shared" si="16"/>
        <v>45898</v>
      </c>
      <c r="J48">
        <f t="shared" si="6"/>
        <v>23</v>
      </c>
      <c r="K48">
        <f t="shared" si="7"/>
        <v>8</v>
      </c>
      <c r="L48">
        <f t="shared" si="8"/>
        <v>2025</v>
      </c>
      <c r="M48">
        <f t="shared" si="9"/>
        <v>29</v>
      </c>
      <c r="N48">
        <f t="shared" si="10"/>
        <v>8</v>
      </c>
      <c r="O48">
        <f t="shared" si="11"/>
        <v>2025</v>
      </c>
      <c r="P48" t="str">
        <f t="shared" si="13"/>
        <v>(23–29 August 2025)</v>
      </c>
      <c r="Q48" t="str">
        <f t="shared" si="14"/>
        <v>Week 32 (23–29 August 2025): Emergencies as Everyday Rule</v>
      </c>
    </row>
    <row r="49" spans="1:17" x14ac:dyDescent="0.2">
      <c r="A49" t="s">
        <v>51</v>
      </c>
      <c r="B49" t="str" cm="1">
        <f t="array" ref="B49">_xlfn.TEXTJOIN("",,MID(A49,_xlfn.SEQUENCE(LEN(A49),,LEN(A49),-1),1))</f>
        <v>344 yciloP sa srewoP nairatirohtuA :33 keeW .34</v>
      </c>
      <c r="C49" t="str">
        <f t="shared" si="0"/>
        <v>yciloP sa srewoP nairatirohtuA :33 keeW .34</v>
      </c>
      <c r="D49" t="str" cm="1">
        <f t="array" ref="D49">_xlfn.TEXTJOIN("",,MID(C49,_xlfn.SEQUENCE(LEN(C49),,LEN(C49),-1),1))</f>
        <v>43. Week 33: Authoritarian Powers as Policy</v>
      </c>
      <c r="E49" t="str">
        <f t="shared" si="1"/>
        <v>Yes</v>
      </c>
      <c r="F49" t="str">
        <f t="shared" si="2"/>
        <v>Week 33: Authoritarian Powers as Policy</v>
      </c>
      <c r="G49">
        <f t="shared" si="3"/>
        <v>33</v>
      </c>
      <c r="H49">
        <f t="shared" si="15"/>
        <v>45899</v>
      </c>
      <c r="I49">
        <f t="shared" si="16"/>
        <v>45905</v>
      </c>
      <c r="J49">
        <f t="shared" si="6"/>
        <v>30</v>
      </c>
      <c r="K49">
        <f t="shared" si="7"/>
        <v>8</v>
      </c>
      <c r="L49">
        <f t="shared" si="8"/>
        <v>2025</v>
      </c>
      <c r="M49">
        <f t="shared" si="9"/>
        <v>5</v>
      </c>
      <c r="N49">
        <f t="shared" si="10"/>
        <v>9</v>
      </c>
      <c r="O49">
        <f t="shared" si="11"/>
        <v>2025</v>
      </c>
      <c r="P49" t="str">
        <f t="shared" si="13"/>
        <v>(30 August–5 September 2025)</v>
      </c>
      <c r="Q49" t="str">
        <f t="shared" si="14"/>
        <v>Week 33 (30 August–5 September 2025): Authoritarian Powers as Policy</v>
      </c>
    </row>
    <row r="50" spans="1:17" x14ac:dyDescent="0.2">
      <c r="A50" t="s">
        <v>52</v>
      </c>
      <c r="B50" t="str" cm="1">
        <f t="array" ref="B50">_xlfn.TEXTJOIN("",,MID(A50,_xlfn.SEQUENCE(LEN(A50),,LEN(A50),-1),1))</f>
        <v>554 enituoR sa ecnanrevoG yratiliM :43 keeW .44</v>
      </c>
      <c r="C50" t="str">
        <f t="shared" si="0"/>
        <v>enituoR sa ecnanrevoG yratiliM :43 keeW .44</v>
      </c>
      <c r="D50" t="str" cm="1">
        <f t="array" ref="D50">_xlfn.TEXTJOIN("",,MID(C50,_xlfn.SEQUENCE(LEN(C50),,LEN(C50),-1),1))</f>
        <v>44. Week 34: Military Governance as Routine</v>
      </c>
      <c r="E50" t="str">
        <f t="shared" si="1"/>
        <v>Yes</v>
      </c>
      <c r="F50" t="str">
        <f t="shared" si="2"/>
        <v>Week 34: Military Governance as Routine</v>
      </c>
      <c r="G50">
        <f t="shared" si="3"/>
        <v>34</v>
      </c>
      <c r="H50">
        <f t="shared" si="15"/>
        <v>45906</v>
      </c>
      <c r="I50">
        <f t="shared" si="16"/>
        <v>45912</v>
      </c>
      <c r="J50">
        <f t="shared" si="6"/>
        <v>6</v>
      </c>
      <c r="K50">
        <f t="shared" si="7"/>
        <v>9</v>
      </c>
      <c r="L50">
        <f t="shared" si="8"/>
        <v>2025</v>
      </c>
      <c r="M50">
        <f t="shared" si="9"/>
        <v>12</v>
      </c>
      <c r="N50">
        <f t="shared" si="10"/>
        <v>9</v>
      </c>
      <c r="O50">
        <f t="shared" si="11"/>
        <v>2025</v>
      </c>
      <c r="P50" t="str">
        <f t="shared" si="13"/>
        <v>(6–12 September 2025)</v>
      </c>
      <c r="Q50" t="str">
        <f t="shared" si="14"/>
        <v>Week 34 (6–12 September 2025): Military Governance as Routine</v>
      </c>
    </row>
    <row r="51" spans="1:17" x14ac:dyDescent="0.2">
      <c r="A51" t="s">
        <v>77</v>
      </c>
      <c r="B51" t="str" cm="1">
        <f t="array" ref="B51">_xlfn.TEXTJOIN("",,MID(A51,_xlfn.SEQUENCE(LEN(A51),,LEN(A51),-1),1))</f>
        <v>964 yalC laitnediserP sa ytiruceS :53 keeW .54</v>
      </c>
      <c r="C51" t="str">
        <f t="shared" si="0"/>
        <v>yalC laitnediserP sa ytiruceS :53 keeW .54</v>
      </c>
      <c r="D51" t="str" cm="1">
        <f t="array" ref="D51">_xlfn.TEXTJOIN("",,MID(C51,_xlfn.SEQUENCE(LEN(C51),,LEN(C51),-1),1))</f>
        <v>45. Week 35: Security as Presidential Clay</v>
      </c>
      <c r="E51" t="str">
        <f t="shared" si="1"/>
        <v>Yes</v>
      </c>
      <c r="F51" t="str">
        <f t="shared" si="2"/>
        <v>Week 35: Security as Presidential Clay</v>
      </c>
      <c r="G51">
        <f t="shared" si="3"/>
        <v>35</v>
      </c>
      <c r="H51">
        <f t="shared" si="15"/>
        <v>45913</v>
      </c>
      <c r="I51">
        <f t="shared" si="16"/>
        <v>45919</v>
      </c>
      <c r="J51">
        <f t="shared" si="6"/>
        <v>13</v>
      </c>
      <c r="K51">
        <f t="shared" si="7"/>
        <v>9</v>
      </c>
      <c r="L51">
        <f t="shared" si="8"/>
        <v>2025</v>
      </c>
      <c r="M51">
        <f t="shared" si="9"/>
        <v>19</v>
      </c>
      <c r="N51">
        <f t="shared" si="10"/>
        <v>9</v>
      </c>
      <c r="O51">
        <f t="shared" si="11"/>
        <v>2025</v>
      </c>
      <c r="P51" t="str">
        <f t="shared" si="13"/>
        <v>(13–19 September 2025)</v>
      </c>
      <c r="Q51" t="str">
        <f t="shared" si="14"/>
        <v>Week 35 (13–19 September 2025): Security as Presidential Clay</v>
      </c>
    </row>
    <row r="52" spans="1:17" x14ac:dyDescent="0.2">
      <c r="A52" t="s">
        <v>53</v>
      </c>
      <c r="B52" t="str" cm="1">
        <f t="array" ref="B52">_xlfn.TEXTJOIN("",,MID(A52,_xlfn.SEQUENCE(LEN(A52),,LEN(A52),-1),1))</f>
        <v>184 egareveL sa ecneliS dna ,regnuH ,waL :63 keeW .64</v>
      </c>
      <c r="C52" t="str">
        <f t="shared" si="0"/>
        <v>egareveL sa ecneliS dna ,regnuH ,waL :63 keeW .64</v>
      </c>
      <c r="D52" t="str" cm="1">
        <f t="array" ref="D52">_xlfn.TEXTJOIN("",,MID(C52,_xlfn.SEQUENCE(LEN(C52),,LEN(C52),-1),1))</f>
        <v>46. Week 36: Law, Hunger, and Silence as Leverage</v>
      </c>
      <c r="E52" t="str">
        <f t="shared" si="1"/>
        <v>Yes</v>
      </c>
      <c r="F52" t="str">
        <f t="shared" si="2"/>
        <v>Week 36: Law, Hunger, and Silence as Leverage</v>
      </c>
      <c r="G52">
        <f t="shared" si="3"/>
        <v>36</v>
      </c>
      <c r="H52">
        <f t="shared" si="15"/>
        <v>45920</v>
      </c>
      <c r="I52">
        <f t="shared" si="16"/>
        <v>45926</v>
      </c>
      <c r="J52">
        <f t="shared" si="6"/>
        <v>20</v>
      </c>
      <c r="K52">
        <f t="shared" si="7"/>
        <v>9</v>
      </c>
      <c r="L52">
        <f t="shared" si="8"/>
        <v>2025</v>
      </c>
      <c r="M52">
        <f t="shared" si="9"/>
        <v>26</v>
      </c>
      <c r="N52">
        <f t="shared" si="10"/>
        <v>9</v>
      </c>
      <c r="O52">
        <f t="shared" si="11"/>
        <v>2025</v>
      </c>
      <c r="P52" t="str">
        <f t="shared" si="13"/>
        <v>(20–26 September 2025)</v>
      </c>
      <c r="Q52" t="str">
        <f t="shared" si="14"/>
        <v>Week 36 (20–26 September 2025): Law, Hunger, and Silence as Leverage</v>
      </c>
    </row>
    <row r="53" spans="1:17" x14ac:dyDescent="0.2">
      <c r="A53" t="s">
        <v>54</v>
      </c>
      <c r="B53" t="str" cm="1">
        <f t="array" ref="B53">_xlfn.TEXTJOIN("",,MID(A53,_xlfn.SEQUENCE(LEN(A53),,LEN(A53),-1),1))</f>
        <v>194 egruP teiuQ sa nwodtuhS :73 keeW .74</v>
      </c>
      <c r="C53" t="str">
        <f t="shared" si="0"/>
        <v>egruP teiuQ sa nwodtuhS :73 keeW .74</v>
      </c>
      <c r="D53" t="str" cm="1">
        <f t="array" ref="D53">_xlfn.TEXTJOIN("",,MID(C53,_xlfn.SEQUENCE(LEN(C53),,LEN(C53),-1),1))</f>
        <v>47. Week 37: Shutdown as Quiet Purge</v>
      </c>
      <c r="E53" t="str">
        <f t="shared" si="1"/>
        <v>Yes</v>
      </c>
      <c r="F53" t="str">
        <f t="shared" si="2"/>
        <v>Week 37: Shutdown as Quiet Purge</v>
      </c>
      <c r="G53">
        <f t="shared" si="3"/>
        <v>37</v>
      </c>
      <c r="H53">
        <f t="shared" si="15"/>
        <v>45927</v>
      </c>
      <c r="I53">
        <f t="shared" si="16"/>
        <v>45933</v>
      </c>
      <c r="J53">
        <f t="shared" si="6"/>
        <v>27</v>
      </c>
      <c r="K53">
        <f t="shared" si="7"/>
        <v>9</v>
      </c>
      <c r="L53">
        <f t="shared" si="8"/>
        <v>2025</v>
      </c>
      <c r="M53">
        <f t="shared" si="9"/>
        <v>3</v>
      </c>
      <c r="N53">
        <f t="shared" si="10"/>
        <v>10</v>
      </c>
      <c r="O53">
        <f t="shared" si="11"/>
        <v>2025</v>
      </c>
      <c r="P53" t="str">
        <f t="shared" si="13"/>
        <v>(27 September–3 October 2025)</v>
      </c>
      <c r="Q53" t="str">
        <f t="shared" si="14"/>
        <v>Week 37 (27 September–3 October 2025): Shutdown as Quiet Purge</v>
      </c>
    </row>
    <row r="54" spans="1:17" x14ac:dyDescent="0.2">
      <c r="A54" t="s">
        <v>55</v>
      </c>
      <c r="B54" t="str" cm="1">
        <f t="array" ref="B54">_xlfn.TEXTJOIN("",,MID(A54,_xlfn.SEQUENCE(LEN(A54),,LEN(A54),-1),1))</f>
        <v>305 yrnopaeW sa nwodtuhS :83 keeW .84</v>
      </c>
      <c r="C54" t="str">
        <f t="shared" si="0"/>
        <v>yrnopaeW sa nwodtuhS :83 keeW .84</v>
      </c>
      <c r="D54" t="str" cm="1">
        <f t="array" ref="D54">_xlfn.TEXTJOIN("",,MID(C54,_xlfn.SEQUENCE(LEN(C54),,LEN(C54),-1),1))</f>
        <v>48. Week 38: Shutdown as Weaponry</v>
      </c>
      <c r="E54" t="str">
        <f t="shared" si="1"/>
        <v>Yes</v>
      </c>
      <c r="F54" t="str">
        <f t="shared" si="2"/>
        <v>Week 38: Shutdown as Weaponry</v>
      </c>
      <c r="G54">
        <f t="shared" si="3"/>
        <v>38</v>
      </c>
      <c r="H54">
        <f t="shared" si="15"/>
        <v>45934</v>
      </c>
      <c r="I54">
        <f t="shared" si="16"/>
        <v>45940</v>
      </c>
      <c r="J54">
        <f t="shared" si="6"/>
        <v>4</v>
      </c>
      <c r="K54">
        <f t="shared" si="7"/>
        <v>10</v>
      </c>
      <c r="L54">
        <f t="shared" si="8"/>
        <v>2025</v>
      </c>
      <c r="M54">
        <f t="shared" si="9"/>
        <v>10</v>
      </c>
      <c r="N54">
        <f t="shared" si="10"/>
        <v>10</v>
      </c>
      <c r="O54">
        <f t="shared" si="11"/>
        <v>2025</v>
      </c>
      <c r="P54" t="str">
        <f t="shared" si="13"/>
        <v>(4–10 October 2025)</v>
      </c>
      <c r="Q54" t="str">
        <f t="shared" si="14"/>
        <v>Week 38 (4–10 October 2025): Shutdown as Weaponry</v>
      </c>
    </row>
    <row r="55" spans="1:17" x14ac:dyDescent="0.2">
      <c r="A55" t="s">
        <v>56</v>
      </c>
      <c r="B55" t="str" cm="1">
        <f t="array" ref="B55">_xlfn.TEXTJOIN("",,MID(A55,_xlfn.SEQUENCE(LEN(A55),,LEN(A55),-1),1))</f>
        <v>515 ecnanrevoG dezinopaeW sa nwodtuhS :93 keeW .94</v>
      </c>
      <c r="C55" t="str">
        <f t="shared" si="0"/>
        <v>ecnanrevoG dezinopaeW sa nwodtuhS :93 keeW .94</v>
      </c>
      <c r="D55" t="str" cm="1">
        <f t="array" ref="D55">_xlfn.TEXTJOIN("",,MID(C55,_xlfn.SEQUENCE(LEN(C55),,LEN(C55),-1),1))</f>
        <v>49. Week 39: Shutdown as Weaponized Governance</v>
      </c>
      <c r="E55" t="str">
        <f t="shared" si="1"/>
        <v>Yes</v>
      </c>
      <c r="F55" t="str">
        <f t="shared" si="2"/>
        <v>Week 39: Shutdown as Weaponized Governance</v>
      </c>
      <c r="G55">
        <f t="shared" si="3"/>
        <v>39</v>
      </c>
      <c r="H55">
        <f t="shared" si="15"/>
        <v>45941</v>
      </c>
      <c r="I55">
        <f t="shared" si="16"/>
        <v>45947</v>
      </c>
      <c r="J55">
        <f t="shared" si="6"/>
        <v>11</v>
      </c>
      <c r="K55">
        <f t="shared" si="7"/>
        <v>10</v>
      </c>
      <c r="L55">
        <f t="shared" si="8"/>
        <v>2025</v>
      </c>
      <c r="M55">
        <f t="shared" si="9"/>
        <v>17</v>
      </c>
      <c r="N55">
        <f t="shared" si="10"/>
        <v>10</v>
      </c>
      <c r="O55">
        <f t="shared" si="11"/>
        <v>2025</v>
      </c>
      <c r="P55" t="str">
        <f t="shared" si="13"/>
        <v>(11–17 October 2025)</v>
      </c>
      <c r="Q55" t="str">
        <f t="shared" si="14"/>
        <v>Week 39 (11–17 October 2025): Shutdown as Weaponized Governance</v>
      </c>
    </row>
    <row r="56" spans="1:17" x14ac:dyDescent="0.2">
      <c r="A56" t="s">
        <v>57</v>
      </c>
      <c r="B56" t="str" cm="1">
        <f t="array" ref="B56">_xlfn.TEXTJOIN("",,MID(A56,_xlfn.SEQUENCE(LEN(A56),,LEN(A56),-1),1))</f>
        <v>725 tnirpeulB sa moorllaB :04 keeW .05</v>
      </c>
      <c r="C56" t="str">
        <f t="shared" si="0"/>
        <v>tnirpeulB sa moorllaB :04 keeW .05</v>
      </c>
      <c r="D56" t="str" cm="1">
        <f t="array" ref="D56">_xlfn.TEXTJOIN("",,MID(C56,_xlfn.SEQUENCE(LEN(C56),,LEN(C56),-1),1))</f>
        <v>50. Week 40: Ballroom as Blueprint</v>
      </c>
      <c r="E56" t="str">
        <f t="shared" si="1"/>
        <v>Yes</v>
      </c>
      <c r="F56" t="str">
        <f t="shared" si="2"/>
        <v>Week 40: Ballroom as Blueprint</v>
      </c>
      <c r="G56">
        <f t="shared" si="3"/>
        <v>40</v>
      </c>
      <c r="H56">
        <f t="shared" si="15"/>
        <v>45948</v>
      </c>
      <c r="I56">
        <f t="shared" si="16"/>
        <v>45954</v>
      </c>
      <c r="J56">
        <f t="shared" si="6"/>
        <v>18</v>
      </c>
      <c r="K56">
        <f t="shared" si="7"/>
        <v>10</v>
      </c>
      <c r="L56">
        <f t="shared" si="8"/>
        <v>2025</v>
      </c>
      <c r="M56">
        <f t="shared" si="9"/>
        <v>24</v>
      </c>
      <c r="N56">
        <f t="shared" si="10"/>
        <v>10</v>
      </c>
      <c r="O56">
        <f t="shared" si="11"/>
        <v>2025</v>
      </c>
      <c r="P56" t="str">
        <f t="shared" si="13"/>
        <v>(18–24 October 2025)</v>
      </c>
      <c r="Q56" t="str">
        <f t="shared" si="14"/>
        <v>Week 40 (18–24 October 2025): Ballroom as Blueprint</v>
      </c>
    </row>
    <row r="57" spans="1:17" x14ac:dyDescent="0.2">
      <c r="A57" t="s">
        <v>58</v>
      </c>
      <c r="B57" t="str" cm="1">
        <f t="array" ref="B57">_xlfn.TEXTJOIN("",,MID(A57,_xlfn.SEQUENCE(LEN(A57),,LEN(A57),-1),1))</f>
        <v>935 eluR sa smoorllaB dna nwodtuhS :14 keeW .15</v>
      </c>
      <c r="C57" t="str">
        <f t="shared" si="0"/>
        <v>eluR sa smoorllaB dna nwodtuhS :14 keeW .15</v>
      </c>
      <c r="D57" t="str" cm="1">
        <f t="array" ref="D57">_xlfn.TEXTJOIN("",,MID(C57,_xlfn.SEQUENCE(LEN(C57),,LEN(C57),-1),1))</f>
        <v>51. Week 41: Shutdown and Ballrooms as Rule</v>
      </c>
      <c r="E57" t="str">
        <f t="shared" si="1"/>
        <v>Yes</v>
      </c>
      <c r="F57" t="str">
        <f t="shared" si="2"/>
        <v>Week 41: Shutdown and Ballrooms as Rule</v>
      </c>
      <c r="G57">
        <f t="shared" si="3"/>
        <v>41</v>
      </c>
      <c r="H57">
        <f t="shared" si="15"/>
        <v>45955</v>
      </c>
      <c r="I57">
        <f t="shared" si="16"/>
        <v>45961</v>
      </c>
      <c r="J57">
        <f t="shared" si="6"/>
        <v>25</v>
      </c>
      <c r="K57">
        <f t="shared" si="7"/>
        <v>10</v>
      </c>
      <c r="L57">
        <f t="shared" si="8"/>
        <v>2025</v>
      </c>
      <c r="M57">
        <f t="shared" si="9"/>
        <v>31</v>
      </c>
      <c r="N57">
        <f t="shared" si="10"/>
        <v>10</v>
      </c>
      <c r="O57">
        <f t="shared" si="11"/>
        <v>2025</v>
      </c>
      <c r="P57" t="str">
        <f t="shared" si="13"/>
        <v>(25–31 October 2025)</v>
      </c>
      <c r="Q57" t="str">
        <f t="shared" si="14"/>
        <v>Week 41 (25–31 October 2025): Shutdown and Ballrooms as Rule</v>
      </c>
    </row>
    <row r="58" spans="1:17" x14ac:dyDescent="0.2">
      <c r="A58" t="s">
        <v>59</v>
      </c>
      <c r="B58" t="str" cm="1">
        <f t="array" ref="B58">_xlfn.TEXTJOIN("",,MID(A58,_xlfn.SEQUENCE(LEN(A58),,LEN(A58),-1),1))</f>
        <v>945 rewoP sa snodraP dna regnuH :24 keeW .25</v>
      </c>
      <c r="C58" t="str">
        <f t="shared" si="0"/>
        <v>rewoP sa snodraP dna regnuH :24 keeW .25</v>
      </c>
      <c r="D58" t="str" cm="1">
        <f t="array" ref="D58">_xlfn.TEXTJOIN("",,MID(C58,_xlfn.SEQUENCE(LEN(C58),,LEN(C58),-1),1))</f>
        <v>52. Week 42: Hunger and Pardons as Power</v>
      </c>
      <c r="E58" t="str">
        <f t="shared" si="1"/>
        <v>Yes</v>
      </c>
      <c r="F58" t="str">
        <f t="shared" si="2"/>
        <v>Week 42: Hunger and Pardons as Power</v>
      </c>
      <c r="G58">
        <f t="shared" si="3"/>
        <v>42</v>
      </c>
      <c r="H58">
        <f t="shared" si="15"/>
        <v>45962</v>
      </c>
      <c r="I58">
        <f t="shared" si="16"/>
        <v>45968</v>
      </c>
      <c r="J58">
        <f t="shared" si="6"/>
        <v>1</v>
      </c>
      <c r="K58">
        <f t="shared" si="7"/>
        <v>11</v>
      </c>
      <c r="L58">
        <f t="shared" si="8"/>
        <v>2025</v>
      </c>
      <c r="M58">
        <f t="shared" si="9"/>
        <v>7</v>
      </c>
      <c r="N58">
        <f t="shared" si="10"/>
        <v>11</v>
      </c>
      <c r="O58">
        <f t="shared" si="11"/>
        <v>2025</v>
      </c>
      <c r="P58" t="str">
        <f t="shared" si="13"/>
        <v>(1–7 November 2025)</v>
      </c>
      <c r="Q58" t="str">
        <f t="shared" si="14"/>
        <v>Week 42 (1–7 November 2025): Hunger and Pardons as Power</v>
      </c>
    </row>
    <row r="59" spans="1:17" x14ac:dyDescent="0.2">
      <c r="A59" t="s">
        <v>60</v>
      </c>
      <c r="B59" t="str" cm="1">
        <f t="array" ref="B59">_xlfn.TEXTJOIN("",,MID(A59,_xlfn.SEQUENCE(LEN(A59),,LEN(A59),-1),1))</f>
        <v>165 snopaeW sa waL dna yromeM :34 keeW .35</v>
      </c>
      <c r="C59" t="str">
        <f t="shared" si="0"/>
        <v>snopaeW sa waL dna yromeM :34 keeW .35</v>
      </c>
      <c r="D59" t="str" cm="1">
        <f t="array" ref="D59">_xlfn.TEXTJOIN("",,MID(C59,_xlfn.SEQUENCE(LEN(C59),,LEN(C59),-1),1))</f>
        <v>53. Week 43: Memory and Law as Weapons</v>
      </c>
      <c r="E59" t="str">
        <f t="shared" si="1"/>
        <v>Yes</v>
      </c>
      <c r="F59" t="str">
        <f t="shared" si="2"/>
        <v>Week 43: Memory and Law as Weapons</v>
      </c>
      <c r="G59">
        <f t="shared" si="3"/>
        <v>43</v>
      </c>
      <c r="H59">
        <f t="shared" si="15"/>
        <v>45969</v>
      </c>
      <c r="I59">
        <f t="shared" si="16"/>
        <v>45975</v>
      </c>
      <c r="J59">
        <f t="shared" si="6"/>
        <v>8</v>
      </c>
      <c r="K59">
        <f t="shared" si="7"/>
        <v>11</v>
      </c>
      <c r="L59">
        <f t="shared" si="8"/>
        <v>2025</v>
      </c>
      <c r="M59">
        <f t="shared" si="9"/>
        <v>14</v>
      </c>
      <c r="N59">
        <f t="shared" si="10"/>
        <v>11</v>
      </c>
      <c r="O59">
        <f t="shared" si="11"/>
        <v>2025</v>
      </c>
      <c r="P59" t="str">
        <f t="shared" si="13"/>
        <v>(8–14 November 2025)</v>
      </c>
      <c r="Q59" t="str">
        <f t="shared" si="14"/>
        <v>Week 43 (8–14 November 2025): Memory and Law as Weapons</v>
      </c>
    </row>
    <row r="60" spans="1:17" x14ac:dyDescent="0.2">
      <c r="A60" t="s">
        <v>61</v>
      </c>
      <c r="B60" t="str" cm="1">
        <f t="array" ref="B60">_xlfn.TEXTJOIN("",,MID(A60,_xlfn.SEQUENCE(LEN(A60),,LEN(A60),-1),1))</f>
        <v>375 ecroF yb nwardeR gnignoleB :44 keeW .45</v>
      </c>
      <c r="C60" t="str">
        <f t="shared" si="0"/>
        <v>ecroF yb nwardeR gnignoleB :44 keeW .45</v>
      </c>
      <c r="D60" t="str" cm="1">
        <f t="array" ref="D60">_xlfn.TEXTJOIN("",,MID(C60,_xlfn.SEQUENCE(LEN(C60),,LEN(C60),-1),1))</f>
        <v>54. Week 44: Belonging Redrawn by Force</v>
      </c>
      <c r="E60" t="str">
        <f t="shared" si="1"/>
        <v>Yes</v>
      </c>
      <c r="F60" t="str">
        <f t="shared" si="2"/>
        <v>Week 44: Belonging Redrawn by Force</v>
      </c>
      <c r="G60">
        <f t="shared" si="3"/>
        <v>44</v>
      </c>
      <c r="H60">
        <f t="shared" si="15"/>
        <v>45976</v>
      </c>
      <c r="I60">
        <f t="shared" si="16"/>
        <v>45982</v>
      </c>
      <c r="J60">
        <f t="shared" si="6"/>
        <v>15</v>
      </c>
      <c r="K60">
        <f t="shared" si="7"/>
        <v>11</v>
      </c>
      <c r="L60">
        <f t="shared" si="8"/>
        <v>2025</v>
      </c>
      <c r="M60">
        <f t="shared" si="9"/>
        <v>21</v>
      </c>
      <c r="N60">
        <f t="shared" si="10"/>
        <v>11</v>
      </c>
      <c r="O60">
        <f t="shared" si="11"/>
        <v>2025</v>
      </c>
      <c r="P60" t="str">
        <f t="shared" si="13"/>
        <v>(15–21 November 2025)</v>
      </c>
      <c r="Q60" t="str">
        <f t="shared" si="14"/>
        <v>Week 44 (15–21 November 2025): Belonging Redrawn by Force</v>
      </c>
    </row>
    <row r="61" spans="1:17" x14ac:dyDescent="0.2">
      <c r="A61" t="s">
        <v>62</v>
      </c>
      <c r="B61" t="str" cm="1">
        <f t="array" ref="B61">_xlfn.TEXTJOIN("",,MID(A61,_xlfn.SEQUENCE(LEN(A61),,LEN(A61),-1),1))</f>
        <v>785 msinahceM gnitroS sa waL :54 keeW .55</v>
      </c>
      <c r="C61" t="str">
        <f t="shared" si="0"/>
        <v>msinahceM gnitroS sa waL :54 keeW .55</v>
      </c>
      <c r="D61" t="str" cm="1">
        <f t="array" ref="D61">_xlfn.TEXTJOIN("",,MID(C61,_xlfn.SEQUENCE(LEN(C61),,LEN(C61),-1),1))</f>
        <v>55. Week 45: Law as Sorting Mechanism</v>
      </c>
      <c r="E61" t="str">
        <f t="shared" si="1"/>
        <v>Yes</v>
      </c>
      <c r="F61" t="str">
        <f t="shared" si="2"/>
        <v>Week 45: Law as Sorting Mechanism</v>
      </c>
      <c r="G61">
        <f t="shared" si="3"/>
        <v>45</v>
      </c>
      <c r="H61">
        <f t="shared" si="15"/>
        <v>45983</v>
      </c>
      <c r="I61">
        <f t="shared" si="16"/>
        <v>45989</v>
      </c>
      <c r="J61">
        <f t="shared" si="6"/>
        <v>22</v>
      </c>
      <c r="K61">
        <f t="shared" si="7"/>
        <v>11</v>
      </c>
      <c r="L61">
        <f t="shared" si="8"/>
        <v>2025</v>
      </c>
      <c r="M61">
        <f t="shared" si="9"/>
        <v>28</v>
      </c>
      <c r="N61">
        <f t="shared" si="10"/>
        <v>11</v>
      </c>
      <c r="O61">
        <f t="shared" si="11"/>
        <v>2025</v>
      </c>
      <c r="P61" t="str">
        <f t="shared" si="13"/>
        <v>(22–28 November 2025)</v>
      </c>
      <c r="Q61" t="str">
        <f t="shared" si="14"/>
        <v>Week 45 (22–28 November 2025): Law as Sorting Mechanism</v>
      </c>
    </row>
    <row r="62" spans="1:17" x14ac:dyDescent="0.2">
      <c r="A62" t="s">
        <v>63</v>
      </c>
      <c r="B62" t="str" cm="1">
        <f t="array" ref="B62">_xlfn.TEXTJOIN("",,MID(A62,_xlfn.SEQUENCE(LEN(A62),,LEN(A62),-1),1))</f>
        <v>995 metsyS gnitarepO sa ytinupmI :64 keeW .65</v>
      </c>
      <c r="C62" t="str">
        <f t="shared" si="0"/>
        <v>metsyS gnitarepO sa ytinupmI :64 keeW .65</v>
      </c>
      <c r="D62" t="str" cm="1">
        <f t="array" ref="D62">_xlfn.TEXTJOIN("",,MID(C62,_xlfn.SEQUENCE(LEN(C62),,LEN(C62),-1),1))</f>
        <v>56. Week 46: Impunity as Operating System</v>
      </c>
      <c r="E62" t="str">
        <f t="shared" si="1"/>
        <v>Yes</v>
      </c>
      <c r="F62" t="str">
        <f t="shared" si="2"/>
        <v>Week 46: Impunity as Operating System</v>
      </c>
      <c r="G62">
        <f t="shared" si="3"/>
        <v>46</v>
      </c>
      <c r="H62">
        <f t="shared" si="15"/>
        <v>45990</v>
      </c>
      <c r="I62">
        <f t="shared" si="16"/>
        <v>45996</v>
      </c>
      <c r="J62">
        <f t="shared" si="6"/>
        <v>29</v>
      </c>
      <c r="K62">
        <f t="shared" si="7"/>
        <v>11</v>
      </c>
      <c r="L62">
        <f t="shared" si="8"/>
        <v>2025</v>
      </c>
      <c r="M62">
        <f t="shared" si="9"/>
        <v>5</v>
      </c>
      <c r="N62">
        <f t="shared" si="10"/>
        <v>12</v>
      </c>
      <c r="O62">
        <f t="shared" si="11"/>
        <v>2025</v>
      </c>
      <c r="P62" t="str">
        <f t="shared" si="13"/>
        <v>(29 November–5 December 2025)</v>
      </c>
      <c r="Q62" t="str">
        <f t="shared" si="14"/>
        <v>Week 46 (29 November–5 December 2025): Impunity as Operating System</v>
      </c>
    </row>
    <row r="63" spans="1:17" x14ac:dyDescent="0.2">
      <c r="A63" t="s">
        <v>64</v>
      </c>
      <c r="B63" t="str" cm="1">
        <f t="array" ref="B63">_xlfn.TEXTJOIN("",,MID(A63,_xlfn.SEQUENCE(LEN(A63),,LEN(A63),-1),1))</f>
        <v>116 elaS rof rewoP dna pihsnezitiC :74 keeW .75</v>
      </c>
      <c r="C63" t="str">
        <f t="shared" si="0"/>
        <v>elaS rof rewoP dna pihsnezitiC :74 keeW .75</v>
      </c>
      <c r="D63" t="str" cm="1">
        <f t="array" ref="D63">_xlfn.TEXTJOIN("",,MID(C63,_xlfn.SEQUENCE(LEN(C63),,LEN(C63),-1),1))</f>
        <v>57. Week 47: Citizenship and Power for Sale</v>
      </c>
      <c r="E63" t="str">
        <f t="shared" si="1"/>
        <v>Yes</v>
      </c>
      <c r="F63" t="str">
        <f t="shared" si="2"/>
        <v>Week 47: Citizenship and Power for Sale</v>
      </c>
      <c r="G63">
        <f t="shared" si="3"/>
        <v>47</v>
      </c>
      <c r="H63">
        <f t="shared" si="15"/>
        <v>45997</v>
      </c>
      <c r="I63">
        <f t="shared" si="16"/>
        <v>46003</v>
      </c>
      <c r="J63">
        <f t="shared" si="6"/>
        <v>6</v>
      </c>
      <c r="K63">
        <f t="shared" si="7"/>
        <v>12</v>
      </c>
      <c r="L63">
        <f t="shared" si="8"/>
        <v>2025</v>
      </c>
      <c r="M63">
        <f t="shared" si="9"/>
        <v>12</v>
      </c>
      <c r="N63">
        <f t="shared" si="10"/>
        <v>12</v>
      </c>
      <c r="O63">
        <f t="shared" si="11"/>
        <v>2025</v>
      </c>
      <c r="P63" t="str">
        <f t="shared" si="13"/>
        <v>(6–12 December 2025)</v>
      </c>
      <c r="Q63" t="str">
        <f t="shared" si="14"/>
        <v>Week 47 (6–12 December 2025): Citizenship and Power for Sale</v>
      </c>
    </row>
    <row r="64" spans="1:17" x14ac:dyDescent="0.2">
      <c r="A64" t="s">
        <v>78</v>
      </c>
      <c r="B64" t="str" cm="1">
        <f t="array" ref="B64">_xlfn.TEXTJOIN("",,MID(A64,_xlfn.SEQUENCE(LEN(A64),,LEN(A64),-1),1))</f>
        <v>326 tnemurtsnI sa yromeM :84 keeW .85</v>
      </c>
      <c r="C64" t="str">
        <f t="shared" si="0"/>
        <v>tnemurtsnI sa yromeM :84 keeW .85</v>
      </c>
      <c r="D64" t="str" cm="1">
        <f t="array" ref="D64">_xlfn.TEXTJOIN("",,MID(C64,_xlfn.SEQUENCE(LEN(C64),,LEN(C64),-1),1))</f>
        <v>58. Week 48: Memory as Instrument</v>
      </c>
      <c r="E64" t="str">
        <f t="shared" si="1"/>
        <v>Yes</v>
      </c>
      <c r="F64" t="str">
        <f t="shared" si="2"/>
        <v>Week 48: Memory as Instrument</v>
      </c>
      <c r="G64">
        <f t="shared" si="3"/>
        <v>48</v>
      </c>
      <c r="H64">
        <f t="shared" si="15"/>
        <v>46004</v>
      </c>
      <c r="I64">
        <f t="shared" si="16"/>
        <v>46010</v>
      </c>
      <c r="J64">
        <f t="shared" si="6"/>
        <v>13</v>
      </c>
      <c r="K64">
        <f t="shared" si="7"/>
        <v>12</v>
      </c>
      <c r="L64">
        <f t="shared" si="8"/>
        <v>2025</v>
      </c>
      <c r="M64">
        <f t="shared" si="9"/>
        <v>19</v>
      </c>
      <c r="N64">
        <f t="shared" si="10"/>
        <v>12</v>
      </c>
      <c r="O64">
        <f t="shared" si="11"/>
        <v>2025</v>
      </c>
      <c r="P64" t="str">
        <f t="shared" si="13"/>
        <v>(13–19 December 2025)</v>
      </c>
      <c r="Q64" t="str">
        <f t="shared" si="14"/>
        <v>Week 48 (13–19 December 2025): Memory as Instrument</v>
      </c>
    </row>
    <row r="65" spans="1:17" x14ac:dyDescent="0.2">
      <c r="A65" t="s">
        <v>79</v>
      </c>
      <c r="B65" t="str" cm="1">
        <f t="array" ref="B65">_xlfn.TEXTJOIN("",,MID(A65,_xlfn.SEQUENCE(LEN(A65),,LEN(A65),-1),1))</f>
        <v>736 rewoP fo stnemurtsnI sa seliF :94 keeW .95</v>
      </c>
      <c r="C65" t="str">
        <f t="shared" si="0"/>
        <v>rewoP fo stnemurtsnI sa seliF :94 keeW .95</v>
      </c>
      <c r="D65" t="str" cm="1">
        <f t="array" ref="D65">_xlfn.TEXTJOIN("",,MID(C65,_xlfn.SEQUENCE(LEN(C65),,LEN(C65),-1),1))</f>
        <v>59. Week 49: Files as Instruments of Power</v>
      </c>
      <c r="E65" t="str">
        <f t="shared" si="1"/>
        <v>Yes</v>
      </c>
      <c r="F65" t="str">
        <f t="shared" si="2"/>
        <v>Week 49: Files as Instruments of Power</v>
      </c>
      <c r="G65">
        <f t="shared" si="3"/>
        <v>49</v>
      </c>
      <c r="H65">
        <f t="shared" si="15"/>
        <v>46011</v>
      </c>
      <c r="I65">
        <f t="shared" si="16"/>
        <v>46017</v>
      </c>
      <c r="J65">
        <f t="shared" si="6"/>
        <v>20</v>
      </c>
      <c r="K65">
        <f t="shared" si="7"/>
        <v>12</v>
      </c>
      <c r="L65">
        <f t="shared" si="8"/>
        <v>2025</v>
      </c>
      <c r="M65">
        <f t="shared" si="9"/>
        <v>26</v>
      </c>
      <c r="N65">
        <f t="shared" si="10"/>
        <v>12</v>
      </c>
      <c r="O65">
        <f t="shared" si="11"/>
        <v>2025</v>
      </c>
      <c r="P65" t="str">
        <f t="shared" si="13"/>
        <v>(20–26 December 2025)</v>
      </c>
      <c r="Q65" t="str">
        <f t="shared" si="14"/>
        <v>Week 49 (20–26 December 2025): Files as Instruments of Power</v>
      </c>
    </row>
    <row r="66" spans="1:17" x14ac:dyDescent="0.2">
      <c r="A66" t="s">
        <v>65</v>
      </c>
      <c r="B66" t="str" cm="1">
        <f t="array" ref="B66">_xlfn.TEXTJOIN("",,MID(A66,_xlfn.SEQUENCE(LEN(A66),,LEN(A66),-1),1))</f>
        <v>746 ecnanrevoG sa noitadilosnoC :05 keeW .06</v>
      </c>
      <c r="C66" t="str">
        <f t="shared" ref="C66:C71" si="17">IF(ISERROR(FIND(" ",B66)),B66,MID(B66,FIND(" ",B66)+1,99))</f>
        <v>ecnanrevoG sa noitadilosnoC :05 keeW .06</v>
      </c>
      <c r="D66" t="str" cm="1">
        <f t="array" ref="D66">_xlfn.TEXTJOIN("",,MID(C66,_xlfn.SEQUENCE(LEN(C66),,LEN(C66),-1),1))</f>
        <v>60. Week 50: Consolidation as Governance</v>
      </c>
      <c r="E66" t="str">
        <f t="shared" si="1"/>
        <v>Yes</v>
      </c>
      <c r="F66" t="str">
        <f t="shared" si="2"/>
        <v>Week 50: Consolidation as Governance</v>
      </c>
      <c r="G66">
        <f t="shared" si="3"/>
        <v>50</v>
      </c>
      <c r="H66">
        <f t="shared" si="15"/>
        <v>46018</v>
      </c>
      <c r="I66">
        <f t="shared" si="16"/>
        <v>46024</v>
      </c>
      <c r="J66">
        <f t="shared" si="6"/>
        <v>27</v>
      </c>
      <c r="K66">
        <f t="shared" si="7"/>
        <v>12</v>
      </c>
      <c r="L66">
        <f t="shared" si="8"/>
        <v>2025</v>
      </c>
      <c r="M66">
        <f t="shared" si="9"/>
        <v>2</v>
      </c>
      <c r="N66">
        <f t="shared" si="10"/>
        <v>1</v>
      </c>
      <c r="O66">
        <f t="shared" si="11"/>
        <v>2026</v>
      </c>
      <c r="P66" t="s">
        <v>75</v>
      </c>
      <c r="Q66" t="str">
        <f t="shared" si="14"/>
        <v>Week 50 (27 December 2025–2 January 2026): Consolidation as Governance</v>
      </c>
    </row>
    <row r="67" spans="1:17" x14ac:dyDescent="0.2">
      <c r="A67" t="s">
        <v>66</v>
      </c>
      <c r="B67" t="str" cm="1">
        <f t="array" ref="B67">_xlfn.TEXTJOIN("",,MID(A67,_xlfn.SEQUENCE(LEN(A67),,LEN(A67),-1),1))</f>
        <v>756 eluR sa tnemecrofnE dna ,liO ,raW :15 keeW .16</v>
      </c>
      <c r="C67" t="str">
        <f t="shared" si="17"/>
        <v>eluR sa tnemecrofnE dna ,liO ,raW :15 keeW .16</v>
      </c>
      <c r="D67" t="str" cm="1">
        <f t="array" ref="D67">_xlfn.TEXTJOIN("",,MID(C67,_xlfn.SEQUENCE(LEN(C67),,LEN(C67),-1),1))</f>
        <v>61. Week 51: War, Oil, and Enforcement as Rule</v>
      </c>
      <c r="E67" t="str">
        <f t="shared" ref="E67:E71" si="18">IF(ISERROR(VALUE(LEFT(D67,1))),"","Yes")</f>
        <v>Yes</v>
      </c>
      <c r="F67" t="str">
        <f t="shared" ref="F67:F71" si="19">IF(E67="",D67,MID(D67,FIND(". ",D67)+2,99))</f>
        <v>Week 51: War, Oil, and Enforcement as Rule</v>
      </c>
      <c r="G67">
        <f t="shared" ref="G67:G71" si="20">IF(LEFT(F67,4)&lt;&gt;"Week","",VALUE(MID(F67,6,FIND(":",F67)-6)))</f>
        <v>51</v>
      </c>
      <c r="H67">
        <f t="shared" si="15"/>
        <v>46025</v>
      </c>
      <c r="I67">
        <f t="shared" si="16"/>
        <v>46031</v>
      </c>
      <c r="J67">
        <f t="shared" ref="J67:J71" si="21">IF(H67="","",DAY(H67))</f>
        <v>3</v>
      </c>
      <c r="K67">
        <f t="shared" ref="K67:K71" si="22">IF(H67="","",MONTH(H67))</f>
        <v>1</v>
      </c>
      <c r="L67">
        <f t="shared" ref="L67:L71" si="23">IF(H67="","",YEAR(H67))</f>
        <v>2026</v>
      </c>
      <c r="M67">
        <f t="shared" ref="M67:M71" si="24">IF(I67="","",DAY(I67))</f>
        <v>9</v>
      </c>
      <c r="N67">
        <f t="shared" ref="N67:N71" si="25">IF(I67="","",MONTH(I67))</f>
        <v>1</v>
      </c>
      <c r="O67">
        <f t="shared" ref="O67:O71" si="26">IF(I67="","",YEAR(I67))</f>
        <v>2026</v>
      </c>
      <c r="P67" t="str">
        <f t="shared" si="13"/>
        <v>(3–9 January 2026)</v>
      </c>
      <c r="Q67" t="str">
        <f t="shared" si="14"/>
        <v>Week 51 (3–9 January 2026): War, Oil, and Enforcement as Rule</v>
      </c>
    </row>
    <row r="68" spans="1:17" x14ac:dyDescent="0.2">
      <c r="A68" t="s">
        <v>67</v>
      </c>
      <c r="B68" t="str" cm="1">
        <f t="array" ref="B68">_xlfn.TEXTJOIN("",,MID(A68,_xlfn.SEQUENCE(LEN(A68),,LEN(A68),-1),1))</f>
        <v>966 ecnanrevoG sa noitapuccO :25 keeW .26</v>
      </c>
      <c r="C68" t="str">
        <f t="shared" si="17"/>
        <v>ecnanrevoG sa noitapuccO :25 keeW .26</v>
      </c>
      <c r="D68" t="str" cm="1">
        <f t="array" ref="D68">_xlfn.TEXTJOIN("",,MID(C68,_xlfn.SEQUENCE(LEN(C68),,LEN(C68),-1),1))</f>
        <v>62. Week 52: Occupation as Governance</v>
      </c>
      <c r="E68" t="str">
        <f t="shared" si="18"/>
        <v>Yes</v>
      </c>
      <c r="F68" t="str">
        <f t="shared" si="19"/>
        <v>Week 52: Occupation as Governance</v>
      </c>
      <c r="G68">
        <f t="shared" si="20"/>
        <v>52</v>
      </c>
      <c r="H68">
        <f t="shared" si="15"/>
        <v>46032</v>
      </c>
      <c r="I68">
        <f t="shared" si="16"/>
        <v>46038</v>
      </c>
      <c r="J68">
        <f t="shared" si="21"/>
        <v>10</v>
      </c>
      <c r="K68">
        <f t="shared" si="22"/>
        <v>1</v>
      </c>
      <c r="L68">
        <f t="shared" si="23"/>
        <v>2026</v>
      </c>
      <c r="M68">
        <f t="shared" si="24"/>
        <v>16</v>
      </c>
      <c r="N68">
        <f t="shared" si="25"/>
        <v>1</v>
      </c>
      <c r="O68">
        <f t="shared" si="26"/>
        <v>2026</v>
      </c>
      <c r="P68" t="str">
        <f t="shared" si="13"/>
        <v>(10–16 January 2026)</v>
      </c>
      <c r="Q68" t="str">
        <f t="shared" si="14"/>
        <v>Week 52 (10–16 January 2026): Occupation as Governance</v>
      </c>
    </row>
    <row r="69" spans="1:17" x14ac:dyDescent="0.2">
      <c r="A69" t="s">
        <v>16</v>
      </c>
      <c r="B69" t="str" cm="1">
        <f t="array" ref="B69">_xlfn.TEXTJOIN("",,MID(A69,_xlfn.SEQUENCE(LEN(A69),,LEN(A69),-1),1))</f>
        <v>186 eugolipE</v>
      </c>
      <c r="C69" t="str">
        <f t="shared" si="17"/>
        <v>eugolipE</v>
      </c>
      <c r="D69" t="str" cm="1">
        <f t="array" ref="D69">_xlfn.TEXTJOIN("",,MID(C69,_xlfn.SEQUENCE(LEN(C69),,LEN(C69),-1),1))</f>
        <v>Epilogue</v>
      </c>
      <c r="E69" t="str">
        <f t="shared" si="18"/>
        <v/>
      </c>
      <c r="F69" t="str">
        <f t="shared" si="19"/>
        <v>Epilogue</v>
      </c>
      <c r="G69" t="str">
        <f t="shared" si="20"/>
        <v/>
      </c>
      <c r="H69" t="str">
        <f t="shared" si="15"/>
        <v/>
      </c>
      <c r="I69" t="str">
        <f t="shared" si="16"/>
        <v/>
      </c>
      <c r="J69" t="str">
        <f t="shared" si="21"/>
        <v/>
      </c>
      <c r="K69" t="str">
        <f t="shared" si="22"/>
        <v/>
      </c>
      <c r="L69" t="str">
        <f t="shared" si="23"/>
        <v/>
      </c>
      <c r="M69" t="str">
        <f t="shared" si="24"/>
        <v/>
      </c>
      <c r="N69" t="str">
        <f t="shared" si="25"/>
        <v/>
      </c>
      <c r="O69" t="str">
        <f t="shared" si="26"/>
        <v/>
      </c>
      <c r="Q69" t="str">
        <f t="shared" si="14"/>
        <v>Epilogue</v>
      </c>
    </row>
    <row r="70" spans="1:17" x14ac:dyDescent="0.2">
      <c r="A70" t="s">
        <v>17</v>
      </c>
      <c r="B70" t="str" cm="1">
        <f t="array" ref="B70">_xlfn.TEXTJOIN("",,MID(A70,_xlfn.SEQUENCE(LEN(A70),,LEN(A70),-1),1))</f>
        <v>386 rohtuA eht tuobA</v>
      </c>
      <c r="C70" t="str">
        <f t="shared" si="17"/>
        <v>rohtuA eht tuobA</v>
      </c>
      <c r="D70" t="str" cm="1">
        <f t="array" ref="D70">_xlfn.TEXTJOIN("",,MID(C70,_xlfn.SEQUENCE(LEN(C70),,LEN(C70),-1),1))</f>
        <v>About the Author</v>
      </c>
      <c r="E70" t="str">
        <f t="shared" si="18"/>
        <v/>
      </c>
      <c r="F70" t="str">
        <f t="shared" si="19"/>
        <v>About the Author</v>
      </c>
      <c r="G70" t="str">
        <f t="shared" si="20"/>
        <v/>
      </c>
      <c r="H70" t="str">
        <f t="shared" si="15"/>
        <v/>
      </c>
      <c r="I70" t="str">
        <f t="shared" si="16"/>
        <v/>
      </c>
      <c r="J70" t="str">
        <f t="shared" si="21"/>
        <v/>
      </c>
      <c r="K70" t="str">
        <f t="shared" si="22"/>
        <v/>
      </c>
      <c r="L70" t="str">
        <f t="shared" si="23"/>
        <v/>
      </c>
      <c r="M70" t="str">
        <f t="shared" si="24"/>
        <v/>
      </c>
      <c r="N70" t="str">
        <f t="shared" si="25"/>
        <v/>
      </c>
      <c r="O70" t="str">
        <f t="shared" si="26"/>
        <v/>
      </c>
      <c r="Q70" t="str">
        <f t="shared" si="14"/>
        <v>About the Author</v>
      </c>
    </row>
    <row r="71" spans="1:17" x14ac:dyDescent="0.2">
      <c r="A71" t="s">
        <v>18</v>
      </c>
      <c r="B71" t="str" cm="1">
        <f t="array" ref="B71">_xlfn.TEXTJOIN("",,MID(A71,_xlfn.SEQUENCE(LEN(A71),,LEN(A71),-1),1))</f>
        <v>586 tnecniV miJ yb oslA</v>
      </c>
      <c r="C71" t="str">
        <f t="shared" si="17"/>
        <v>tnecniV miJ yb oslA</v>
      </c>
      <c r="D71" t="str" cm="1">
        <f t="array" ref="D71">_xlfn.TEXTJOIN("",,MID(C71,_xlfn.SEQUENCE(LEN(C71),,LEN(C71),-1),1))</f>
        <v>Also by Jim Vincent</v>
      </c>
      <c r="E71" t="str">
        <f t="shared" si="18"/>
        <v/>
      </c>
      <c r="F71" t="str">
        <f t="shared" si="19"/>
        <v>Also by Jim Vincent</v>
      </c>
      <c r="G71" t="str">
        <f t="shared" si="20"/>
        <v/>
      </c>
      <c r="H71" t="str">
        <f t="shared" si="15"/>
        <v/>
      </c>
      <c r="I71" t="str">
        <f t="shared" si="16"/>
        <v/>
      </c>
      <c r="J71" t="str">
        <f t="shared" si="21"/>
        <v/>
      </c>
      <c r="K71" t="str">
        <f t="shared" si="22"/>
        <v/>
      </c>
      <c r="L71" t="str">
        <f t="shared" si="23"/>
        <v/>
      </c>
      <c r="M71" t="str">
        <f t="shared" si="24"/>
        <v/>
      </c>
      <c r="N71" t="str">
        <f t="shared" si="25"/>
        <v/>
      </c>
      <c r="O71" t="str">
        <f t="shared" si="26"/>
        <v/>
      </c>
      <c r="Q71" t="str">
        <f t="shared" si="14"/>
        <v>Also by Jim Vincent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shelly Vincent</dc:creator>
  <cp:lastModifiedBy>shelly Vincent</cp:lastModifiedBy>
  <dcterms:created xsi:type="dcterms:W3CDTF">2026-01-20T19:02:36Z</dcterms:created>
  <dcterms:modified xsi:type="dcterms:W3CDTF">2026-01-20T20:02:14Z</dcterms:modified>
</cp:coreProperties>
</file>